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nhind-my.sharepoint.com/personal/tavinder_arora_cnhind_com/Documents/Desktop/attachmentscnh/100_Maintenance/02_Edit_Records/02_09_Edit_Attachments_EX/"/>
    </mc:Choice>
  </mc:AlternateContent>
  <xr:revisionPtr revIDLastSave="34" documentId="11_46B7C70FEBE9FE625C60025B18D19B5FA12CC075" xr6:coauthVersionLast="47" xr6:coauthVersionMax="47" xr10:uidLastSave="{6BC3109E-1E46-4F7E-B0D9-35445445282E}"/>
  <bookViews>
    <workbookView xWindow="-110" yWindow="-110" windowWidth="19420" windowHeight="11500" activeTab="1" xr2:uid="{00000000-000D-0000-FFFF-FFFF00000000}"/>
  </bookViews>
  <sheets>
    <sheet name="Attachments_EX" sheetId="1" r:id="rId1"/>
    <sheet name="Sheet1" sheetId="2" r:id="rId2"/>
  </sheets>
  <definedNames>
    <definedName name="_xlnm._FilterDatabase" localSheetId="1" hidden="1">Sheet1!$C$3:$C$142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5" i="2" l="1"/>
  <c r="L46" i="2"/>
  <c r="L35" i="2"/>
  <c r="L36" i="2"/>
  <c r="L37" i="2"/>
  <c r="L38" i="2"/>
  <c r="L39" i="2"/>
  <c r="L40" i="2"/>
  <c r="L41" i="2"/>
  <c r="L42" i="2"/>
  <c r="L43" i="2"/>
  <c r="L44" i="2"/>
  <c r="L34" i="2"/>
  <c r="J34" i="2"/>
</calcChain>
</file>

<file path=xl/sharedStrings.xml><?xml version="1.0" encoding="utf-8"?>
<sst xmlns="http://schemas.openxmlformats.org/spreadsheetml/2006/main" count="955" uniqueCount="383">
  <si>
    <t>id</t>
  </si>
  <si>
    <t>Part_Number</t>
  </si>
  <si>
    <t>Carrier_Machine</t>
  </si>
  <si>
    <t>Duty</t>
  </si>
  <si>
    <t>Attachment_Category</t>
  </si>
  <si>
    <t>Brand</t>
  </si>
  <si>
    <t>Weight</t>
  </si>
  <si>
    <t>Regions</t>
  </si>
  <si>
    <t>Attachment_Family_No</t>
  </si>
  <si>
    <t>Attachment_Family</t>
  </si>
  <si>
    <t>Part_Number_Family</t>
  </si>
  <si>
    <t>Attachment_Description</t>
  </si>
  <si>
    <t>Current_Status</t>
  </si>
  <si>
    <t>BPM</t>
  </si>
  <si>
    <t>CX235C_SR_CX245D_SR</t>
  </si>
  <si>
    <t>Tool_Diameter</t>
  </si>
  <si>
    <t>Impact_Energy</t>
  </si>
  <si>
    <t>Operating_Weight_Lbs</t>
  </si>
  <si>
    <t>Flow_Type</t>
  </si>
  <si>
    <t>CX145C_D_SR</t>
  </si>
  <si>
    <t>CX130C_D</t>
  </si>
  <si>
    <t>CX350C_D</t>
  </si>
  <si>
    <t>CX75CSR_CX80C</t>
  </si>
  <si>
    <t>CX250C_D</t>
  </si>
  <si>
    <t>CX160C_D</t>
  </si>
  <si>
    <t>Cycles_Per_Min</t>
  </si>
  <si>
    <t>Operating_Pressure_PSI</t>
  </si>
  <si>
    <t>Impulse_Force</t>
  </si>
  <si>
    <t>Base_Plate</t>
  </si>
  <si>
    <t>CX210C_D</t>
  </si>
  <si>
    <t>CX470C_CX490D</t>
  </si>
  <si>
    <t>CX300C_D</t>
  </si>
  <si>
    <t>CX470C_ME_CX500D_ME</t>
  </si>
  <si>
    <t>Remarks</t>
  </si>
  <si>
    <t>Warranty</t>
  </si>
  <si>
    <t>Oil_Flow_GPM</t>
  </si>
  <si>
    <t>Brush_Diameter</t>
  </si>
  <si>
    <t>Region2</t>
  </si>
  <si>
    <t>Torque_PSI_2</t>
  </si>
  <si>
    <t>No_Brushes</t>
  </si>
  <si>
    <t>Shipping_Weight</t>
  </si>
  <si>
    <t>Technical_Type</t>
  </si>
  <si>
    <t>Incoterms</t>
  </si>
  <si>
    <t>Type</t>
  </si>
  <si>
    <t>Working_Width</t>
  </si>
  <si>
    <t>Tine_Thickness</t>
  </si>
  <si>
    <t>GPM_RPM_PSI_1</t>
  </si>
  <si>
    <t>Packing_Dimensions</t>
  </si>
  <si>
    <t>Opearting_Pressure</t>
  </si>
  <si>
    <t>Opearting_Pressure_MPI</t>
  </si>
  <si>
    <t>Packed_Length</t>
  </si>
  <si>
    <t>Length</t>
  </si>
  <si>
    <t>Tine_Dimensions</t>
  </si>
  <si>
    <t>Load_Capacity</t>
  </si>
  <si>
    <t>Shipping_Location</t>
  </si>
  <si>
    <t>Bolt_On_Cutting_Edge</t>
  </si>
  <si>
    <t>Shipping_Dimensions</t>
  </si>
  <si>
    <t>Suitable_Carrier</t>
  </si>
  <si>
    <t>Tilt</t>
  </si>
  <si>
    <t>Cutting_Diameter</t>
  </si>
  <si>
    <t>Rotary_Diameter</t>
  </si>
  <si>
    <t>Relief_Pressure</t>
  </si>
  <si>
    <t>Region</t>
  </si>
  <si>
    <t>Opearting_Pressure_PSI</t>
  </si>
  <si>
    <t>Oscillation</t>
  </si>
  <si>
    <t>Flow_Range_High</t>
  </si>
  <si>
    <t>BOCE_Number</t>
  </si>
  <si>
    <t>Box_Bracket</t>
  </si>
  <si>
    <t>Torque_PSI_1</t>
  </si>
  <si>
    <t>Tine_Rotation</t>
  </si>
  <si>
    <t>Series</t>
  </si>
  <si>
    <t>Cutting_Edge</t>
  </si>
  <si>
    <t>Coupler</t>
  </si>
  <si>
    <t>Oil_Flow_LPM</t>
  </si>
  <si>
    <t>Height_Open</t>
  </si>
  <si>
    <t>Specifications</t>
  </si>
  <si>
    <t>Mounting_Plate</t>
  </si>
  <si>
    <t>Case_Drain</t>
  </si>
  <si>
    <t>Diameter</t>
  </si>
  <si>
    <t>Overall_Width</t>
  </si>
  <si>
    <t>Rotor_Speed</t>
  </si>
  <si>
    <t>Region1</t>
  </si>
  <si>
    <t>Net_Weight</t>
  </si>
  <si>
    <t>Back_Pressure</t>
  </si>
  <si>
    <t>Driveline</t>
  </si>
  <si>
    <t>Operating_Pressure_MPI</t>
  </si>
  <si>
    <t>Rotor_Bearing_Size</t>
  </si>
  <si>
    <t>BPM_High</t>
  </si>
  <si>
    <t>GPM_RPM_PSI_2</t>
  </si>
  <si>
    <t>Flow_Range_Low</t>
  </si>
  <si>
    <t>Operating_Pressure</t>
  </si>
  <si>
    <t>Pinon_QC</t>
  </si>
  <si>
    <t>Gross_Weight</t>
  </si>
  <si>
    <t>Hose_Size</t>
  </si>
  <si>
    <t>Packed_Width</t>
  </si>
  <si>
    <t>Warranty_Weldments</t>
  </si>
  <si>
    <t>Mount_Collar</t>
  </si>
  <si>
    <t>No_Tines</t>
  </si>
  <si>
    <t>Level_3</t>
  </si>
  <si>
    <t>Tilt_Degrees</t>
  </si>
  <si>
    <t>Top_Mount_1Pc</t>
  </si>
  <si>
    <t>Capacity</t>
  </si>
  <si>
    <t>Availability</t>
  </si>
  <si>
    <t>Vendor_Name</t>
  </si>
  <si>
    <t>No_Cutting_Tools</t>
  </si>
  <si>
    <t>Packed_Height</t>
  </si>
  <si>
    <t>No_Teeth</t>
  </si>
  <si>
    <t>Max_Pressure</t>
  </si>
  <si>
    <t>Torque_Range</t>
  </si>
  <si>
    <t>Warranty_Gearbox</t>
  </si>
  <si>
    <t>Blade/Teeth</t>
  </si>
  <si>
    <t>Supplier</t>
  </si>
  <si>
    <t>Cutting_Width</t>
  </si>
  <si>
    <t>Number_Cylinders</t>
  </si>
  <si>
    <t>No_Tines1</t>
  </si>
  <si>
    <t>Machine_Model</t>
  </si>
  <si>
    <t>Speed_Range</t>
  </si>
  <si>
    <t>COO</t>
  </si>
  <si>
    <t>Level_4</t>
  </si>
  <si>
    <t>Top_Mount_2Pc</t>
  </si>
  <si>
    <t>Cutting_Depth</t>
  </si>
  <si>
    <t>GPM_RPM_PSI_3</t>
  </si>
  <si>
    <t>BPM_Low</t>
  </si>
  <si>
    <t>Supplier_Part_Number</t>
  </si>
  <si>
    <t>Compaction_Energy</t>
  </si>
  <si>
    <t>Amplitude</t>
  </si>
  <si>
    <t>Height_Closed</t>
  </si>
  <si>
    <t>Region3</t>
  </si>
  <si>
    <t>Output_Shaft</t>
  </si>
  <si>
    <t>Side_Shift</t>
  </si>
  <si>
    <t>Auger_Diameter</t>
  </si>
  <si>
    <t>Side_Shift_Range</t>
  </si>
  <si>
    <t>Height</t>
  </si>
  <si>
    <t>Width</t>
  </si>
  <si>
    <t>Maximum_HorsePower</t>
  </si>
  <si>
    <t>Brush_Type</t>
  </si>
  <si>
    <t>Torque_PSI_3</t>
  </si>
  <si>
    <t>Dynamic_Force</t>
  </si>
  <si>
    <t>Chisel_Diameter</t>
  </si>
  <si>
    <t>02idee1GeIm2ekMkBASQ</t>
  </si>
  <si>
    <t>EX</t>
  </si>
  <si>
    <t>ADDITIONAL COMPONENTS for CH-310: Chisel Point (1 included with base hammer)</t>
  </si>
  <si>
    <t>Construction Attachments</t>
  </si>
  <si>
    <t>CASE</t>
  </si>
  <si>
    <t>NAFTA</t>
  </si>
  <si>
    <t>Hydraulic Hammer-ADDITIONAL COMPONENTS for CH-310: Chisel Point (1 included with base hammer)</t>
  </si>
  <si>
    <t>Hydraulic Hammer</t>
  </si>
  <si>
    <t>Approved</t>
  </si>
  <si>
    <t>11ZJGQgj8IU3upVKswyU</t>
  </si>
  <si>
    <t>TOP CAP – CH-151 (CX210C/D, CX235C SR, CX245D SR)</t>
  </si>
  <si>
    <t>Hydraulic Hammer TOP CAP – CH-151 (CX210C/D, CX235C SR, CX245D SR)</t>
  </si>
  <si>
    <t>1RNavyxyPZ6EOPGM0EU7</t>
  </si>
  <si>
    <t>CH-6E HYDRAULIC HAMMER (includes moil point)</t>
  </si>
  <si>
    <t>Hydraulic Hammer CH-6E Body (includes moil point)</t>
  </si>
  <si>
    <t>23KQ5FN6YxzQpLUO6dTW</t>
  </si>
  <si>
    <t>HOSE KIT – CX470C, CX490D</t>
  </si>
  <si>
    <t>Hydraulic Hammer HOSE KIT – CX470C, CX490D</t>
  </si>
  <si>
    <t>3EAoayarsmgXi1esSuY4</t>
  </si>
  <si>
    <t>CH-190 HYDRAULIC HAMMER (CX235C SR, CX245D SR)</t>
  </si>
  <si>
    <t>Hydraulic Hammer CH-190 for CX235C SR, CX245D SR</t>
  </si>
  <si>
    <t>370-490</t>
  </si>
  <si>
    <t>42-55.5</t>
  </si>
  <si>
    <t>4Ni32Wq2jzNKnA667r9M</t>
  </si>
  <si>
    <t>CH-7J HYDRAULIC HAMMER (CX130C/D, CX145C/D SR)</t>
  </si>
  <si>
    <t>Hydraulic Hammer CH-7J for CX130C/D, CX145C/D SR</t>
  </si>
  <si>
    <t>450-720</t>
  </si>
  <si>
    <t>21-32</t>
  </si>
  <si>
    <t>4iawQ6ccDiJj83npzoFa</t>
  </si>
  <si>
    <t>HOSE KIT – CX300C/D, CX350C/D</t>
  </si>
  <si>
    <t>Hydraulic Hammer HOSE KIT – CX300C/D, CX350C/D</t>
  </si>
  <si>
    <t>4iqlu14oA4oV2YLBk8e4</t>
  </si>
  <si>
    <t>CH-230 HYDRAULIC HAMMER (includes chisel point)</t>
  </si>
  <si>
    <t>Hydraulic Hammer CH-230  Body (includes moil point)</t>
  </si>
  <si>
    <t>6KT4lUjyMvf1yXjWdd9Y</t>
  </si>
  <si>
    <t>ADDITIONAL COMPONENTS for CH-7J: Chisel Point (1 included with base hammer)</t>
  </si>
  <si>
    <t>Hydraulic Hammer-ADDITIONAL COMPONENTS for CH-7J: Chisel Point (1 included with base hammer)</t>
  </si>
  <si>
    <t>6rPmx55l61BdVxdgsKNM</t>
  </si>
  <si>
    <t>TOP CAP – CH-6E (CX75C,SR, CX80C)</t>
  </si>
  <si>
    <t>Hydraulic Hammer TOP CAP – CH-6E (CX75C,SR, CX80C)</t>
  </si>
  <si>
    <t>74VulZSitmTkkvJcI1g3</t>
  </si>
  <si>
    <t>CH-7J HYDRAULIC HAMMER (includes chisel point)</t>
  </si>
  <si>
    <t>Hydraulic Hammer CH-7J  Body (includes moil point)</t>
  </si>
  <si>
    <t>7fjI6HIlz9LxbBS1J6xG</t>
  </si>
  <si>
    <t>ADDITIONAL COMPONENTS for CH-190: Chisel Point (1 included with base hammer)</t>
  </si>
  <si>
    <t>Hydraulic Hammer-ADDITIONAL COMPONENTS for CH-190: Chisel Point (1 included with base hammer)</t>
  </si>
  <si>
    <t>AszjidxGEGqGWqfmHuRH</t>
  </si>
  <si>
    <t>ADDITIONAL COMPONENTS for CH-230: Blunt Point</t>
  </si>
  <si>
    <t>Hydraulic Hammer-ADDITIONAL COMPONENTS for CH-230: Blunt Point</t>
  </si>
  <si>
    <t>B10vF4Nk47IWm36AHGMJ</t>
  </si>
  <si>
    <t>TOP CAP – CH-310 (CX470C, CX490D)</t>
  </si>
  <si>
    <t>Hydraulic Hammer TOP CAP – CH-310 (CX470C, CX490D)</t>
  </si>
  <si>
    <t>BDVz8GZk8NA5AbCW4E4w</t>
  </si>
  <si>
    <t>CH-230 HYDRAULIC HAMMER (CX350C/D)</t>
  </si>
  <si>
    <t>Hydraulic Hammer CH-230 for CX350C/D</t>
  </si>
  <si>
    <t>380-450</t>
  </si>
  <si>
    <t>48-60.8</t>
  </si>
  <si>
    <t>BcZl6OimQQgqABOOnkEM</t>
  </si>
  <si>
    <t>CH-6E HYDRAULIC HAMMER (CX75C SR, CX80C)</t>
  </si>
  <si>
    <t>Hydraulic Hammer CH-6E for CX75C SR, CX80C</t>
  </si>
  <si>
    <t>550-1000</t>
  </si>
  <si>
    <t>12-21</t>
  </si>
  <si>
    <t>Bgb80IUJq2ZiJ0hv97XP</t>
  </si>
  <si>
    <t>TOP CAP – CH-190 (CX250C/D, CX300C/D)</t>
  </si>
  <si>
    <t>Hydraulic Hammer TOP CAP – CH-190 (CX250C/D, CX300C/D)</t>
  </si>
  <si>
    <t>C9O44exgPycgnW64QgQe</t>
  </si>
  <si>
    <t>HOSE KIT – CX75C SR, CX80C, CX130C/D, CX145C/D SR</t>
  </si>
  <si>
    <t>Hydraulic Hammer HOSE KIT – CX75C SR, CX80C, CX130C/D, CX145C/D SR</t>
  </si>
  <si>
    <t>CRHLXSxnOWEm3Gv6OKKU</t>
  </si>
  <si>
    <t>ADDITIONAL COMPONENTS for CH-100: Chisel Point (1 included with base hammer)</t>
  </si>
  <si>
    <t>Hydraulic Hammer-ADDITIONAL COMPONENTS for CH-100: Chisel Point (1 included with base hammer)</t>
  </si>
  <si>
    <t>GUblBVY3XWbVCzpDgXzb</t>
  </si>
  <si>
    <t>TOP CAP – CH-230 (CX300C/D)</t>
  </si>
  <si>
    <t>Hydraulic Hammer TOP CAP – CH-230 (CX300C/D)</t>
  </si>
  <si>
    <t>GWVo71tHuETgXSbxlswQ</t>
  </si>
  <si>
    <t>CH-100 HYDRAULIC HAMMER (includes chisel point)</t>
  </si>
  <si>
    <t>Hydraulic Hammer CH-100  Body (includes moil point)</t>
  </si>
  <si>
    <t>HAIDiuvpVrHYRlp1eqOm</t>
  </si>
  <si>
    <t>ADDITIONAL COMPONENTS for CH-7J: Blunt Point</t>
  </si>
  <si>
    <t>Hydraulic Hammer-ADDITIONAL COMPONENTS for CH-7J: Blunt Point</t>
  </si>
  <si>
    <t>I43b1D1cCZnzdJVzp1WT</t>
  </si>
  <si>
    <t>ADDITIONAL COMPONENTS for CH-100: Blunt Point</t>
  </si>
  <si>
    <t>Hydraulic Hammer-ADDITIONAL COMPONENTS for CH-100: Blunt Point</t>
  </si>
  <si>
    <t>IJVlWxafAyLr6T7UkkBW</t>
  </si>
  <si>
    <t>FRONT WINDOW GUARD, LEXAN – SR MODELS</t>
  </si>
  <si>
    <t>Front Window Guard</t>
  </si>
  <si>
    <t>IuRKMqXxxHTBmBTZVpIE</t>
  </si>
  <si>
    <t>ADDITIONAL COMPONENTS for CH-6E:  Blunt Point</t>
  </si>
  <si>
    <t>Hydraulic Hammer-ADDITIONAL COMPONENTS for CH-6E:  Blunt Point</t>
  </si>
  <si>
    <t>KbfRlomXMUeg6SBXqXsi</t>
  </si>
  <si>
    <t>Auto Lube Kit - fits CH-6E to CH-310</t>
  </si>
  <si>
    <t>Hydraulic Hammer Auto Lube Kit - fits CH-6E to CH-310</t>
  </si>
  <si>
    <t>KjTXtKSy7xPHOO3iK8B3</t>
  </si>
  <si>
    <t>ADDITIONAL COMPONENTS for CH-230: Moil Point</t>
  </si>
  <si>
    <t>Hydraulic Hammer-ADDITIONAL COMPONENTS for CH-230: Moil Point</t>
  </si>
  <si>
    <t>KvuBhEnPuHpJRVv1ap0q</t>
  </si>
  <si>
    <t>CH-190 HYDRAULIC HAMMER (CX250C/D)</t>
  </si>
  <si>
    <t>Hydraulic Hammer CH-190 for CX250C/D</t>
  </si>
  <si>
    <t>LFw5CbHmcOn3tmRNIukR</t>
  </si>
  <si>
    <t>Auto Lube Shield Kit - fits CH-6E to CH-310 (use with 47766712)</t>
  </si>
  <si>
    <t>Hydraulic Hammer Auto Lube Shield Kit - fits CH-6E to CH-310 (use with 47766712)</t>
  </si>
  <si>
    <t>LrH4lchzfVkxKB2u1d7T</t>
  </si>
  <si>
    <t>ADDITIONAL COMPONENTS for CH-151: Blunt Point</t>
  </si>
  <si>
    <t>Hydraulic Hammer-ADDITIONAL COMPONENTS for CH-151: Blunt Point</t>
  </si>
  <si>
    <t>MOOtEnFGrtCc5Va3wFAh</t>
  </si>
  <si>
    <t>CH-100 HYDRAULIC HAMMER (CX160C/D)</t>
  </si>
  <si>
    <t xml:space="preserve">Hydraulic Hammer CH-100 for CX160C/D </t>
  </si>
  <si>
    <t>430-600</t>
  </si>
  <si>
    <t>26 -37</t>
  </si>
  <si>
    <t>NaUT8uaoVqm78dKgDT5G</t>
  </si>
  <si>
    <t>TOP CAP – CH-100 (CX160C/D)</t>
  </si>
  <si>
    <t>Hydraulic Hammer TOP CAP – CH-100 (CX160C/D)</t>
  </si>
  <si>
    <t>OcPv5N30cBy1jvRSNTzf</t>
  </si>
  <si>
    <t>ADDITIONAL COMPONENTS for CH-310: Blunt Point</t>
  </si>
  <si>
    <t>Hydraulic Hammer-ADDITIONAL COMPONENTS for CH-310: Blunt Point</t>
  </si>
  <si>
    <t>OyHkZ0AIU7gEsfyVtJ5F</t>
  </si>
  <si>
    <t>TOP CAP – CX130C/D, CX145C/D SR</t>
  </si>
  <si>
    <t>Hydraulic Compactor-Top Cap for CX130C/D, CX145C/D SR</t>
  </si>
  <si>
    <t>Hydraulic Compactor</t>
  </si>
  <si>
    <t>PdYpMJBErlr7yeNONOfy</t>
  </si>
  <si>
    <t>HOSE KIT – CX210C/D, CX235C SR, CX245D SR, CX250C/D</t>
  </si>
  <si>
    <t>Hydraulic Hammer HOSE KIT – CX210C/D, CX235C SR, CX245D SR, CX250C/D</t>
  </si>
  <si>
    <t>QwLwePb5Si2pQ7LD6LzE</t>
  </si>
  <si>
    <t>SC-60 HYDRAULIC COMPACTOR</t>
  </si>
  <si>
    <t>Hydraulic Compactor SC-60</t>
  </si>
  <si>
    <t>12-25</t>
  </si>
  <si>
    <t>1700-2100</t>
  </si>
  <si>
    <t>24 x 26</t>
  </si>
  <si>
    <t>SPBK9JybwhwjStiKCrAJ</t>
  </si>
  <si>
    <t>HOSE KIT – CX160C/D</t>
  </si>
  <si>
    <t>Hydraulic Hammer HOSE KIT – CX160C/D</t>
  </si>
  <si>
    <t>SR75iJqIh8JGskqDX3B7</t>
  </si>
  <si>
    <t>ADDITIONAL COMPONENTS for CH-230: Chisel Point (1 included with base hammer)</t>
  </si>
  <si>
    <t>Hydraulic Hammer-ADDITIONAL COMPONENTS for CH-230: Chisel Point (1 included with base hammer)</t>
  </si>
  <si>
    <t>WN4xs210KU0rwgIBbS9C</t>
  </si>
  <si>
    <t>TOP CAP – CH-7J (CX130C/D, CX145C/D SR)</t>
  </si>
  <si>
    <t>Hydraulic Hammer TOP CAP – CH-7J (CX130C/D, CX145C/D SR)</t>
  </si>
  <si>
    <t>WZIrpZ5X157lzGtBkiKU</t>
  </si>
  <si>
    <t>FRONT WINDOW GUARD, STEEL MESH – SR MODELS</t>
  </si>
  <si>
    <t>X4mGZ62Gtyo3NpboXLwF</t>
  </si>
  <si>
    <t>TOP CAP – CX250C/D</t>
  </si>
  <si>
    <t>Hydraulic Compactor-Top Cap for CX250C/D</t>
  </si>
  <si>
    <t>XrKxfsh1qu0jm7dpMJ2j</t>
  </si>
  <si>
    <t>FRONT WINDOW GUARD, LEXAN</t>
  </si>
  <si>
    <t>Y1vk6uBOb4PYEVt2A1vl</t>
  </si>
  <si>
    <t>SC-80 HYDRAULIC COMPACTOR</t>
  </si>
  <si>
    <t>Hydraulic Compactor SC-80</t>
  </si>
  <si>
    <t>18-40</t>
  </si>
  <si>
    <t>24 x 34</t>
  </si>
  <si>
    <t>aDC33D7iOX9mitYY1cc9</t>
  </si>
  <si>
    <t>TOP CAP – CX350C/D</t>
  </si>
  <si>
    <t>Hydraulic Compactor-Top Cap for CX350C/D</t>
  </si>
  <si>
    <t>bR3HQKHu2AR155pWArVA</t>
  </si>
  <si>
    <t>ADDITIONAL COMPONENTS for CH-190: Moil Point</t>
  </si>
  <si>
    <t>Hydraulic Hammer-ADDITIONAL COMPONENTS for CH-190: Moil Point</t>
  </si>
  <si>
    <t>cWiVGpgZXtXvnMj6S0Nq</t>
  </si>
  <si>
    <t>TOP CAP – CX300C/D</t>
  </si>
  <si>
    <t>Hydraulic Compactor-Top Cap for CX300C/D</t>
  </si>
  <si>
    <t>cycwFglDLhNNoydM30Hf</t>
  </si>
  <si>
    <t>ADDITIONAL COMPONENTS for CH-151: Chisel Point (1 included with base hammer)</t>
  </si>
  <si>
    <t>Hydraulic Hammer-ADDITIONAL COMPONENTS for CH-151: Chisel Point (1 included with base hammer)</t>
  </si>
  <si>
    <t>d9xfZf3KlRG8u6xhYXYp</t>
  </si>
  <si>
    <t>ADDITIONAL COMPONENTS for CH-6E:  Moil Point (1 included with base hammer)</t>
  </si>
  <si>
    <t>Hydraulic Hammer-ADDITIONAL COMPONENTS for CH-6E:  Moil Point (1 included with base hammer)</t>
  </si>
  <si>
    <t>evzQoB1w7bdyrTw9eEHY</t>
  </si>
  <si>
    <t>SC-220 HYDRAULIC COMPACTOR</t>
  </si>
  <si>
    <t>Hydraulic Compactor SC-220</t>
  </si>
  <si>
    <t>42-70</t>
  </si>
  <si>
    <t>1800-2200</t>
  </si>
  <si>
    <t>32 x 42</t>
  </si>
  <si>
    <t>ezKkf1euVEd0CfMFGFmo</t>
  </si>
  <si>
    <t>CH-230 HYDRAULIC HAMMER (CX300C/D)</t>
  </si>
  <si>
    <t>Hydraulic Hammer CH-230 for CX300C/D</t>
  </si>
  <si>
    <t>fD9HhBLeKwNBfhJK3tGx</t>
  </si>
  <si>
    <t>TOP CAP – CX210C/D, CX235C SR, CX245D SR</t>
  </si>
  <si>
    <t>Hydraulic Compactor-Top Cap for CX210C/D, CX235C SR, CX245D SR</t>
  </si>
  <si>
    <t>fMkyKupJPWrUSDoxcNKt</t>
  </si>
  <si>
    <t>CH-151 HYDRAULIC HAMMER (includes chisel point)</t>
  </si>
  <si>
    <t>Hydraulic Hammer CH-151  Body (includes moil point)</t>
  </si>
  <si>
    <t>gKOHrdDW0kiZ62AREV50</t>
  </si>
  <si>
    <t>TOP CAP – CX160C/D</t>
  </si>
  <si>
    <t>Hydraulic Compactor-Top Cap for CX160C/D</t>
  </si>
  <si>
    <t>hSyr6lE2WKNtsKNXy85t</t>
  </si>
  <si>
    <t>CH-190 HYDRAULIC HAMMER (includes chisel point)</t>
  </si>
  <si>
    <t>Hydraulic Hammer CH-190  Body (includes moil point)</t>
  </si>
  <si>
    <t>i2VLrQpUOa8dY7razO6Z</t>
  </si>
  <si>
    <t>CH-310 HYDRAULIC HAMMER (CX470C ME, CX500D ME)</t>
  </si>
  <si>
    <t>Hydraulic Hammer CH-310 for CX470C ME, CX500D ME</t>
  </si>
  <si>
    <t>370-470</t>
  </si>
  <si>
    <t>63-80</t>
  </si>
  <si>
    <t>iUBLNAeDluK5JyMMER4f</t>
  </si>
  <si>
    <t>TOP CAP – CH-310 (CX470C ME, CX500D ME)</t>
  </si>
  <si>
    <t>Hydraulic Hammer TOP CAP – CH-310 (CX470C ME, CX500D ME)</t>
  </si>
  <si>
    <t>kye3YFBijY5nCsus0N5I</t>
  </si>
  <si>
    <t>ADDITIONAL COMPONENTS for CH-151: Moil Point</t>
  </si>
  <si>
    <t>Hydraulic Hammer-ADDITIONAL COMPONENTS for CH-151: Moil Point</t>
  </si>
  <si>
    <t>laf3o47a3gJs1Cv7FAf2</t>
  </si>
  <si>
    <t>TOP CAP – CX75C SR, CX80C</t>
  </si>
  <si>
    <t>Hydraulic Compactor-Top Cap for CX75C SR, CX80C</t>
  </si>
  <si>
    <t>mAiIe2HhxZcBkwHZ7QKO</t>
  </si>
  <si>
    <t>TOP CAP – CH-230 (CX350C/D)</t>
  </si>
  <si>
    <t>Hydraulic Hammer TOP CAP – CH-230 (CX350C/D)</t>
  </si>
  <si>
    <t>mBfavEF29tBUbHxDcg7E</t>
  </si>
  <si>
    <t>CH-310 HYDRAULIC HAMMER (includes chisel point)</t>
  </si>
  <si>
    <t>Hydraulic Hammer CH-310  Body (includes moil point)</t>
  </si>
  <si>
    <t>n1wyKSo2APHxU6K37jsi</t>
  </si>
  <si>
    <t>ADDITIONAL COMPONENTS for CH-100: Moil Point</t>
  </si>
  <si>
    <t>Hydraulic Hammer-ADDITIONAL COMPONENTS for CH-100: Moil Point</t>
  </si>
  <si>
    <t>o29Q2qREH8OQkVjjtAej</t>
  </si>
  <si>
    <t>ADDITIONAL COMPONENTS for CH-190: Blunt Point</t>
  </si>
  <si>
    <t>Hydraulic Hammer-ADDITIONAL COMPONENTS for CH-190: Blunt Point</t>
  </si>
  <si>
    <t>pGpixjCn2d0EwFgSSdIC</t>
  </si>
  <si>
    <t>CH-190 HYDRAULIC HAMMER (CX300C/D)</t>
  </si>
  <si>
    <t>Hydraulic Hammer CH-190 for CX300C/D</t>
  </si>
  <si>
    <t>pZNGHrFaWUAPnwbFG1bd</t>
  </si>
  <si>
    <t>SC-110 HYDRAULIC COMPACTOR</t>
  </si>
  <si>
    <t>Hydraulic Compactor SC-110</t>
  </si>
  <si>
    <t>28-60</t>
  </si>
  <si>
    <t>27 x 30</t>
  </si>
  <si>
    <t>sMNaSg22o35FOCTkrrbl</t>
  </si>
  <si>
    <t>CH-151 HYDRAULIC HAMMER (CX210C/D, CX235C SR, CX245D SR)</t>
  </si>
  <si>
    <t>Hydraulic Hammer CH-151 for CX210C/D, CX235C SR, CX245D SR</t>
  </si>
  <si>
    <t>490-630</t>
  </si>
  <si>
    <t>42-52.8</t>
  </si>
  <si>
    <t>tWtLxboacwukyTGV433K</t>
  </si>
  <si>
    <t>ADDITIONAL COMPONENTS for CH-6E:  Chisel Point</t>
  </si>
  <si>
    <t>Hydraulic Hammer-ADDITIONAL COMPONENTS for CH-6E:  Chisel Point</t>
  </si>
  <si>
    <t/>
  </si>
  <si>
    <t>uKS4sITHN0i29qoLgVNp</t>
  </si>
  <si>
    <t>ADDITIONAL COMPONENTS for CH-310: Moil Point</t>
  </si>
  <si>
    <t>Hydraulic Hammer-ADDITIONAL COMPONENTS for CH-310: Moil Point</t>
  </si>
  <si>
    <t>vHmJgBitRq8c3wDOEZQj</t>
  </si>
  <si>
    <t>ADDITIONAL COMPONENTS for CH-7J: Moil Point</t>
  </si>
  <si>
    <t>Hydraulic Hammer-ADDITIONAL COMPONENTS for CH-7J: Moil Point</t>
  </si>
  <si>
    <t>xkVEHKA5oLC9Xfrradt2</t>
  </si>
  <si>
    <t>TOP CAP – CH-190 (CX235C SR, CX245D SR)</t>
  </si>
  <si>
    <t>Hydraulic Hammer TOP CAP – CH-190 (CX235C SR, CX245D SR)</t>
  </si>
  <si>
    <t>xkrzJtFtF4bocdZCrE7m</t>
  </si>
  <si>
    <t>FRONT WINDOW GUARD, STEEL MESH</t>
  </si>
  <si>
    <t>yHSpfqIo1wCwaHbDA3LP</t>
  </si>
  <si>
    <t>CH-310 HYDRAULIC HAMMER (CX470C, CX490D)</t>
  </si>
  <si>
    <t>Hydraulic Hammer CH-310 for CX470C, CX490D</t>
  </si>
  <si>
    <t>CX750D_ME</t>
  </si>
  <si>
    <t>CX750D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</si>
</sst>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73"/>
  <sheetViews>
    <sheetView topLeftCell="DU1" workbookViewId="0">
      <selection sqref="A1:EJ1"/>
    </sheetView>
  </sheetViews>
  <sheetFormatPr defaultRowHeight="15.5" x14ac:dyDescent="0.35"/>
  <sheetData>
    <row r="1" spans="1:1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</row>
    <row r="2" spans="1:139" x14ac:dyDescent="0.35">
      <c r="A2" t="s">
        <v>139</v>
      </c>
      <c r="B2">
        <v>47575891</v>
      </c>
      <c r="C2" t="s">
        <v>140</v>
      </c>
      <c r="D2" t="s">
        <v>141</v>
      </c>
      <c r="E2" t="s">
        <v>142</v>
      </c>
      <c r="F2" t="s">
        <v>143</v>
      </c>
      <c r="G2">
        <v>462</v>
      </c>
      <c r="H2" t="s">
        <v>144</v>
      </c>
      <c r="I2">
        <v>903</v>
      </c>
      <c r="J2" t="s">
        <v>145</v>
      </c>
      <c r="K2">
        <v>55</v>
      </c>
      <c r="L2" t="s">
        <v>146</v>
      </c>
      <c r="M2" t="s">
        <v>147</v>
      </c>
    </row>
    <row r="3" spans="1:139" x14ac:dyDescent="0.35">
      <c r="A3" t="s">
        <v>148</v>
      </c>
      <c r="B3">
        <v>47575740</v>
      </c>
      <c r="C3" t="s">
        <v>140</v>
      </c>
      <c r="D3" t="s">
        <v>149</v>
      </c>
      <c r="E3" t="s">
        <v>142</v>
      </c>
      <c r="F3" t="s">
        <v>143</v>
      </c>
      <c r="G3">
        <v>532</v>
      </c>
      <c r="H3" t="s">
        <v>144</v>
      </c>
      <c r="I3">
        <v>903</v>
      </c>
      <c r="J3" t="s">
        <v>150</v>
      </c>
      <c r="K3">
        <v>27</v>
      </c>
      <c r="L3" t="s">
        <v>146</v>
      </c>
      <c r="M3" t="s">
        <v>147</v>
      </c>
    </row>
    <row r="4" spans="1:139" x14ac:dyDescent="0.35">
      <c r="A4" t="s">
        <v>151</v>
      </c>
      <c r="B4">
        <v>47575652</v>
      </c>
      <c r="C4" t="s">
        <v>140</v>
      </c>
      <c r="D4" t="s">
        <v>152</v>
      </c>
      <c r="E4" t="s">
        <v>142</v>
      </c>
      <c r="F4" t="s">
        <v>143</v>
      </c>
      <c r="G4">
        <v>832</v>
      </c>
      <c r="H4" t="s">
        <v>144</v>
      </c>
      <c r="I4">
        <v>903</v>
      </c>
      <c r="J4" t="s">
        <v>153</v>
      </c>
      <c r="K4">
        <v>12</v>
      </c>
      <c r="L4" t="s">
        <v>146</v>
      </c>
      <c r="M4" t="s">
        <v>147</v>
      </c>
    </row>
    <row r="5" spans="1:139" x14ac:dyDescent="0.35">
      <c r="A5" t="s">
        <v>154</v>
      </c>
      <c r="B5">
        <v>47600075</v>
      </c>
      <c r="C5" t="s">
        <v>140</v>
      </c>
      <c r="D5" t="s">
        <v>155</v>
      </c>
      <c r="E5" t="s">
        <v>142</v>
      </c>
      <c r="F5" t="s">
        <v>143</v>
      </c>
      <c r="G5">
        <v>48</v>
      </c>
      <c r="H5" t="s">
        <v>144</v>
      </c>
      <c r="I5">
        <v>903</v>
      </c>
      <c r="J5" t="s">
        <v>156</v>
      </c>
      <c r="K5">
        <v>23</v>
      </c>
      <c r="L5" t="s">
        <v>146</v>
      </c>
      <c r="M5" t="s">
        <v>147</v>
      </c>
    </row>
    <row r="6" spans="1:139" x14ac:dyDescent="0.35">
      <c r="A6" t="s">
        <v>157</v>
      </c>
      <c r="B6">
        <v>47999875</v>
      </c>
      <c r="C6" t="s">
        <v>140</v>
      </c>
      <c r="D6" t="s">
        <v>158</v>
      </c>
      <c r="E6" t="s">
        <v>142</v>
      </c>
      <c r="F6" t="s">
        <v>143</v>
      </c>
      <c r="G6">
        <v>5018</v>
      </c>
      <c r="H6" t="s">
        <v>144</v>
      </c>
      <c r="I6">
        <v>903</v>
      </c>
      <c r="J6" t="s">
        <v>159</v>
      </c>
      <c r="K6">
        <v>5</v>
      </c>
      <c r="L6" t="s">
        <v>146</v>
      </c>
      <c r="M6" t="s">
        <v>147</v>
      </c>
      <c r="N6" t="s">
        <v>160</v>
      </c>
      <c r="O6" t="b">
        <v>1</v>
      </c>
      <c r="P6">
        <v>5.5</v>
      </c>
      <c r="Q6">
        <v>5500</v>
      </c>
      <c r="R6">
        <v>4950</v>
      </c>
      <c r="S6" t="s">
        <v>161</v>
      </c>
    </row>
    <row r="7" spans="1:139" x14ac:dyDescent="0.35">
      <c r="A7" t="s">
        <v>162</v>
      </c>
      <c r="B7">
        <v>47999871</v>
      </c>
      <c r="C7" t="s">
        <v>140</v>
      </c>
      <c r="D7" t="s">
        <v>163</v>
      </c>
      <c r="E7" t="s">
        <v>142</v>
      </c>
      <c r="F7" t="s">
        <v>143</v>
      </c>
      <c r="G7">
        <v>2583</v>
      </c>
      <c r="H7" t="s">
        <v>144</v>
      </c>
      <c r="I7">
        <v>903</v>
      </c>
      <c r="J7" t="s">
        <v>164</v>
      </c>
      <c r="K7">
        <v>2</v>
      </c>
      <c r="L7" t="s">
        <v>146</v>
      </c>
      <c r="M7" t="s">
        <v>147</v>
      </c>
      <c r="N7" t="s">
        <v>165</v>
      </c>
      <c r="P7">
        <v>4.0999999999999996</v>
      </c>
      <c r="Q7">
        <v>2000</v>
      </c>
      <c r="R7">
        <v>2420</v>
      </c>
      <c r="S7" t="s">
        <v>166</v>
      </c>
      <c r="T7" t="b">
        <v>1</v>
      </c>
      <c r="U7" t="b">
        <v>1</v>
      </c>
    </row>
    <row r="8" spans="1:139" x14ac:dyDescent="0.35">
      <c r="A8" t="s">
        <v>167</v>
      </c>
      <c r="B8">
        <v>47575781</v>
      </c>
      <c r="C8" t="s">
        <v>140</v>
      </c>
      <c r="D8" t="s">
        <v>168</v>
      </c>
      <c r="E8" t="s">
        <v>142</v>
      </c>
      <c r="F8" t="s">
        <v>143</v>
      </c>
      <c r="G8">
        <v>39</v>
      </c>
      <c r="H8" t="s">
        <v>144</v>
      </c>
      <c r="I8">
        <v>903</v>
      </c>
      <c r="J8" t="s">
        <v>169</v>
      </c>
      <c r="K8">
        <v>22</v>
      </c>
      <c r="L8" t="s">
        <v>146</v>
      </c>
      <c r="M8" t="s">
        <v>147</v>
      </c>
    </row>
    <row r="9" spans="1:139" x14ac:dyDescent="0.35">
      <c r="A9" t="s">
        <v>170</v>
      </c>
      <c r="B9">
        <v>47575675</v>
      </c>
      <c r="C9" t="s">
        <v>140</v>
      </c>
      <c r="D9" t="s">
        <v>171</v>
      </c>
      <c r="E9" t="s">
        <v>142</v>
      </c>
      <c r="F9" t="s">
        <v>143</v>
      </c>
      <c r="G9">
        <v>5275</v>
      </c>
      <c r="H9" t="s">
        <v>144</v>
      </c>
      <c r="I9">
        <v>903</v>
      </c>
      <c r="J9" t="s">
        <v>172</v>
      </c>
      <c r="K9">
        <v>17</v>
      </c>
      <c r="L9" t="s">
        <v>146</v>
      </c>
      <c r="M9" t="s">
        <v>147</v>
      </c>
    </row>
    <row r="10" spans="1:139" x14ac:dyDescent="0.35">
      <c r="A10" t="s">
        <v>173</v>
      </c>
      <c r="B10">
        <v>47922310</v>
      </c>
      <c r="C10" t="s">
        <v>140</v>
      </c>
      <c r="D10" t="s">
        <v>174</v>
      </c>
      <c r="E10" t="s">
        <v>142</v>
      </c>
      <c r="F10" t="s">
        <v>143</v>
      </c>
      <c r="G10">
        <v>148</v>
      </c>
      <c r="H10" t="s">
        <v>144</v>
      </c>
      <c r="I10">
        <v>903</v>
      </c>
      <c r="J10" t="s">
        <v>175</v>
      </c>
      <c r="K10">
        <v>40</v>
      </c>
      <c r="L10" t="s">
        <v>146</v>
      </c>
      <c r="M10" t="s">
        <v>147</v>
      </c>
    </row>
    <row r="11" spans="1:139" x14ac:dyDescent="0.35">
      <c r="A11" t="s">
        <v>176</v>
      </c>
      <c r="B11">
        <v>47575722</v>
      </c>
      <c r="C11" t="s">
        <v>140</v>
      </c>
      <c r="D11" t="s">
        <v>177</v>
      </c>
      <c r="E11" t="s">
        <v>142</v>
      </c>
      <c r="F11" t="s">
        <v>143</v>
      </c>
      <c r="G11">
        <v>254</v>
      </c>
      <c r="H11" t="s">
        <v>144</v>
      </c>
      <c r="I11">
        <v>903</v>
      </c>
      <c r="J11" t="s">
        <v>178</v>
      </c>
      <c r="K11">
        <v>24</v>
      </c>
      <c r="L11" t="s">
        <v>146</v>
      </c>
      <c r="M11" t="s">
        <v>147</v>
      </c>
    </row>
    <row r="12" spans="1:139" x14ac:dyDescent="0.35">
      <c r="A12" t="s">
        <v>179</v>
      </c>
      <c r="B12">
        <v>47922307</v>
      </c>
      <c r="C12" t="s">
        <v>140</v>
      </c>
      <c r="D12" t="s">
        <v>180</v>
      </c>
      <c r="E12" t="s">
        <v>142</v>
      </c>
      <c r="F12" t="s">
        <v>143</v>
      </c>
      <c r="G12">
        <v>2157</v>
      </c>
      <c r="H12" t="s">
        <v>144</v>
      </c>
      <c r="I12">
        <v>903</v>
      </c>
      <c r="J12" t="s">
        <v>181</v>
      </c>
      <c r="K12">
        <v>13</v>
      </c>
      <c r="L12" t="s">
        <v>146</v>
      </c>
      <c r="M12" t="s">
        <v>147</v>
      </c>
    </row>
    <row r="13" spans="1:139" x14ac:dyDescent="0.35">
      <c r="A13" t="s">
        <v>182</v>
      </c>
      <c r="B13">
        <v>47575883</v>
      </c>
      <c r="C13" t="s">
        <v>140</v>
      </c>
      <c r="D13" t="s">
        <v>183</v>
      </c>
      <c r="E13" t="s">
        <v>142</v>
      </c>
      <c r="F13" t="s">
        <v>143</v>
      </c>
      <c r="G13">
        <v>284</v>
      </c>
      <c r="H13" t="s">
        <v>144</v>
      </c>
      <c r="I13">
        <v>903</v>
      </c>
      <c r="J13" t="s">
        <v>184</v>
      </c>
      <c r="K13">
        <v>49</v>
      </c>
      <c r="L13" t="s">
        <v>146</v>
      </c>
      <c r="M13" t="s">
        <v>147</v>
      </c>
    </row>
    <row r="14" spans="1:139" x14ac:dyDescent="0.35">
      <c r="A14" t="s">
        <v>185</v>
      </c>
      <c r="B14">
        <v>47575887</v>
      </c>
      <c r="C14" t="s">
        <v>140</v>
      </c>
      <c r="D14" t="s">
        <v>186</v>
      </c>
      <c r="E14" t="s">
        <v>142</v>
      </c>
      <c r="F14" t="s">
        <v>143</v>
      </c>
      <c r="G14">
        <v>275</v>
      </c>
      <c r="H14" t="s">
        <v>144</v>
      </c>
      <c r="I14">
        <v>903</v>
      </c>
      <c r="J14" t="s">
        <v>187</v>
      </c>
      <c r="K14">
        <v>53</v>
      </c>
      <c r="L14" t="s">
        <v>146</v>
      </c>
      <c r="M14" t="s">
        <v>147</v>
      </c>
    </row>
    <row r="15" spans="1:139" x14ac:dyDescent="0.35">
      <c r="A15" t="s">
        <v>188</v>
      </c>
      <c r="B15">
        <v>47575745</v>
      </c>
      <c r="C15" t="s">
        <v>140</v>
      </c>
      <c r="D15" t="s">
        <v>189</v>
      </c>
      <c r="E15" t="s">
        <v>142</v>
      </c>
      <c r="F15" t="s">
        <v>143</v>
      </c>
      <c r="G15">
        <v>1380</v>
      </c>
      <c r="H15" t="s">
        <v>144</v>
      </c>
      <c r="I15">
        <v>903</v>
      </c>
      <c r="J15" t="s">
        <v>190</v>
      </c>
      <c r="K15">
        <v>32</v>
      </c>
      <c r="L15" t="s">
        <v>146</v>
      </c>
      <c r="M15" t="s">
        <v>147</v>
      </c>
    </row>
    <row r="16" spans="1:139" x14ac:dyDescent="0.35">
      <c r="A16" t="s">
        <v>191</v>
      </c>
      <c r="B16">
        <v>47999878</v>
      </c>
      <c r="C16" t="s">
        <v>140</v>
      </c>
      <c r="D16" t="s">
        <v>192</v>
      </c>
      <c r="E16" t="s">
        <v>142</v>
      </c>
      <c r="F16" t="s">
        <v>143</v>
      </c>
      <c r="G16">
        <v>6368</v>
      </c>
      <c r="H16" t="s">
        <v>144</v>
      </c>
      <c r="I16">
        <v>903</v>
      </c>
      <c r="J16" t="s">
        <v>193</v>
      </c>
      <c r="K16">
        <v>9</v>
      </c>
      <c r="L16" t="s">
        <v>146</v>
      </c>
      <c r="M16" t="s">
        <v>147</v>
      </c>
      <c r="N16" t="s">
        <v>194</v>
      </c>
      <c r="P16">
        <v>5.8</v>
      </c>
      <c r="Q16">
        <v>7500</v>
      </c>
      <c r="R16">
        <v>5940</v>
      </c>
      <c r="S16" t="s">
        <v>195</v>
      </c>
      <c r="V16" t="b">
        <v>1</v>
      </c>
    </row>
    <row r="17" spans="1:25" x14ac:dyDescent="0.35">
      <c r="A17" t="s">
        <v>196</v>
      </c>
      <c r="B17">
        <v>47999864</v>
      </c>
      <c r="C17" t="s">
        <v>140</v>
      </c>
      <c r="D17" t="s">
        <v>197</v>
      </c>
      <c r="E17" t="s">
        <v>142</v>
      </c>
      <c r="F17" t="s">
        <v>143</v>
      </c>
      <c r="G17">
        <v>1103</v>
      </c>
      <c r="H17" t="s">
        <v>144</v>
      </c>
      <c r="I17">
        <v>903</v>
      </c>
      <c r="J17" t="s">
        <v>198</v>
      </c>
      <c r="K17">
        <v>1</v>
      </c>
      <c r="L17" t="s">
        <v>146</v>
      </c>
      <c r="M17" t="s">
        <v>147</v>
      </c>
      <c r="N17" t="s">
        <v>199</v>
      </c>
      <c r="P17">
        <v>3.7</v>
      </c>
      <c r="Q17">
        <v>1500</v>
      </c>
      <c r="R17">
        <v>990</v>
      </c>
      <c r="S17" t="s">
        <v>200</v>
      </c>
      <c r="W17" t="b">
        <v>1</v>
      </c>
    </row>
    <row r="18" spans="1:25" x14ac:dyDescent="0.35">
      <c r="A18" t="s">
        <v>201</v>
      </c>
      <c r="B18">
        <v>47575742</v>
      </c>
      <c r="C18" t="s">
        <v>140</v>
      </c>
      <c r="D18" t="s">
        <v>202</v>
      </c>
      <c r="E18" t="s">
        <v>142</v>
      </c>
      <c r="F18" t="s">
        <v>143</v>
      </c>
      <c r="G18">
        <v>744</v>
      </c>
      <c r="H18" t="s">
        <v>144</v>
      </c>
      <c r="I18">
        <v>903</v>
      </c>
      <c r="J18" t="s">
        <v>203</v>
      </c>
      <c r="K18">
        <v>29</v>
      </c>
      <c r="L18" t="s">
        <v>146</v>
      </c>
      <c r="M18" t="s">
        <v>147</v>
      </c>
    </row>
    <row r="19" spans="1:25" x14ac:dyDescent="0.35">
      <c r="A19" t="s">
        <v>204</v>
      </c>
      <c r="B19">
        <v>47575770</v>
      </c>
      <c r="C19" t="s">
        <v>140</v>
      </c>
      <c r="D19" t="s">
        <v>205</v>
      </c>
      <c r="E19" t="s">
        <v>142</v>
      </c>
      <c r="F19" t="s">
        <v>143</v>
      </c>
      <c r="G19">
        <v>17</v>
      </c>
      <c r="H19" t="s">
        <v>144</v>
      </c>
      <c r="I19">
        <v>903</v>
      </c>
      <c r="J19" t="s">
        <v>206</v>
      </c>
      <c r="K19">
        <v>19</v>
      </c>
      <c r="L19" t="s">
        <v>146</v>
      </c>
      <c r="M19" t="s">
        <v>147</v>
      </c>
    </row>
    <row r="20" spans="1:25" x14ac:dyDescent="0.35">
      <c r="A20" t="s">
        <v>207</v>
      </c>
      <c r="B20">
        <v>47575872</v>
      </c>
      <c r="C20" t="s">
        <v>140</v>
      </c>
      <c r="D20" t="s">
        <v>208</v>
      </c>
      <c r="E20" t="s">
        <v>142</v>
      </c>
      <c r="F20" t="s">
        <v>143</v>
      </c>
      <c r="G20">
        <v>148</v>
      </c>
      <c r="H20" t="s">
        <v>144</v>
      </c>
      <c r="I20">
        <v>903</v>
      </c>
      <c r="J20" t="s">
        <v>209</v>
      </c>
      <c r="K20">
        <v>43</v>
      </c>
      <c r="L20" t="s">
        <v>146</v>
      </c>
      <c r="M20" t="s">
        <v>147</v>
      </c>
    </row>
    <row r="21" spans="1:25" x14ac:dyDescent="0.35">
      <c r="A21" t="s">
        <v>210</v>
      </c>
      <c r="B21">
        <v>47575743</v>
      </c>
      <c r="C21" t="s">
        <v>140</v>
      </c>
      <c r="D21" t="s">
        <v>211</v>
      </c>
      <c r="E21" t="s">
        <v>142</v>
      </c>
      <c r="F21" t="s">
        <v>143</v>
      </c>
      <c r="G21">
        <v>811</v>
      </c>
      <c r="H21" t="s">
        <v>144</v>
      </c>
      <c r="I21">
        <v>903</v>
      </c>
      <c r="J21" t="s">
        <v>212</v>
      </c>
      <c r="K21">
        <v>30</v>
      </c>
      <c r="L21" t="s">
        <v>146</v>
      </c>
      <c r="M21" t="s">
        <v>147</v>
      </c>
    </row>
    <row r="22" spans="1:25" x14ac:dyDescent="0.35">
      <c r="A22" t="s">
        <v>213</v>
      </c>
      <c r="B22">
        <v>47575660</v>
      </c>
      <c r="C22" t="s">
        <v>140</v>
      </c>
      <c r="D22" t="s">
        <v>214</v>
      </c>
      <c r="E22" t="s">
        <v>142</v>
      </c>
      <c r="F22" t="s">
        <v>143</v>
      </c>
      <c r="G22">
        <v>2421</v>
      </c>
      <c r="H22" t="s">
        <v>144</v>
      </c>
      <c r="I22">
        <v>903</v>
      </c>
      <c r="J22" t="s">
        <v>215</v>
      </c>
      <c r="K22">
        <v>14</v>
      </c>
      <c r="L22" t="s">
        <v>146</v>
      </c>
      <c r="M22" t="s">
        <v>147</v>
      </c>
    </row>
    <row r="23" spans="1:25" x14ac:dyDescent="0.35">
      <c r="A23" t="s">
        <v>216</v>
      </c>
      <c r="B23">
        <v>47922311</v>
      </c>
      <c r="C23" t="s">
        <v>140</v>
      </c>
      <c r="D23" t="s">
        <v>217</v>
      </c>
      <c r="E23" t="s">
        <v>142</v>
      </c>
      <c r="F23" t="s">
        <v>143</v>
      </c>
      <c r="G23">
        <v>154</v>
      </c>
      <c r="H23" t="s">
        <v>144</v>
      </c>
      <c r="I23">
        <v>903</v>
      </c>
      <c r="J23" t="s">
        <v>218</v>
      </c>
      <c r="K23">
        <v>41</v>
      </c>
      <c r="L23" t="s">
        <v>146</v>
      </c>
      <c r="M23" t="s">
        <v>147</v>
      </c>
    </row>
    <row r="24" spans="1:25" x14ac:dyDescent="0.35">
      <c r="A24" t="s">
        <v>219</v>
      </c>
      <c r="B24">
        <v>47575873</v>
      </c>
      <c r="C24" t="s">
        <v>140</v>
      </c>
      <c r="D24" t="s">
        <v>220</v>
      </c>
      <c r="E24" t="s">
        <v>142</v>
      </c>
      <c r="F24" t="s">
        <v>143</v>
      </c>
      <c r="G24">
        <v>154</v>
      </c>
      <c r="H24" t="s">
        <v>144</v>
      </c>
      <c r="I24">
        <v>903</v>
      </c>
      <c r="J24" t="s">
        <v>221</v>
      </c>
      <c r="K24">
        <v>44</v>
      </c>
      <c r="L24" t="s">
        <v>146</v>
      </c>
      <c r="M24" t="s">
        <v>147</v>
      </c>
    </row>
    <row r="25" spans="1:25" x14ac:dyDescent="0.35">
      <c r="A25" t="s">
        <v>222</v>
      </c>
      <c r="B25">
        <v>51427323</v>
      </c>
      <c r="C25" t="s">
        <v>140</v>
      </c>
      <c r="D25" t="s">
        <v>223</v>
      </c>
      <c r="E25" t="s">
        <v>142</v>
      </c>
      <c r="F25" t="s">
        <v>143</v>
      </c>
      <c r="G25">
        <v>340</v>
      </c>
      <c r="H25" t="s">
        <v>144</v>
      </c>
      <c r="I25">
        <v>901</v>
      </c>
      <c r="J25" t="s">
        <v>223</v>
      </c>
      <c r="K25">
        <v>2</v>
      </c>
      <c r="L25" t="s">
        <v>224</v>
      </c>
      <c r="M25" t="s">
        <v>147</v>
      </c>
      <c r="O25" t="b">
        <v>1</v>
      </c>
      <c r="T25" t="b">
        <v>1</v>
      </c>
      <c r="W25" t="b">
        <v>1</v>
      </c>
    </row>
    <row r="26" spans="1:25" x14ac:dyDescent="0.35">
      <c r="A26" t="s">
        <v>225</v>
      </c>
      <c r="B26">
        <v>47575856</v>
      </c>
      <c r="C26" t="s">
        <v>140</v>
      </c>
      <c r="D26" t="s">
        <v>226</v>
      </c>
      <c r="E26" t="s">
        <v>142</v>
      </c>
      <c r="F26" t="s">
        <v>143</v>
      </c>
      <c r="G26">
        <v>90</v>
      </c>
      <c r="H26" t="s">
        <v>144</v>
      </c>
      <c r="I26">
        <v>903</v>
      </c>
      <c r="J26" t="s">
        <v>227</v>
      </c>
      <c r="K26">
        <v>38</v>
      </c>
      <c r="L26" t="s">
        <v>146</v>
      </c>
      <c r="M26" t="s">
        <v>147</v>
      </c>
    </row>
    <row r="27" spans="1:25" x14ac:dyDescent="0.35">
      <c r="A27" t="s">
        <v>228</v>
      </c>
      <c r="B27">
        <v>47766712</v>
      </c>
      <c r="C27" t="s">
        <v>140</v>
      </c>
      <c r="D27" t="s">
        <v>229</v>
      </c>
      <c r="E27" t="s">
        <v>142</v>
      </c>
      <c r="F27" t="s">
        <v>143</v>
      </c>
      <c r="G27">
        <v>12</v>
      </c>
      <c r="H27" t="s">
        <v>144</v>
      </c>
      <c r="I27">
        <v>903</v>
      </c>
      <c r="J27" t="s">
        <v>230</v>
      </c>
      <c r="K27">
        <v>34</v>
      </c>
      <c r="L27" t="s">
        <v>146</v>
      </c>
      <c r="M27" t="s">
        <v>147</v>
      </c>
    </row>
    <row r="28" spans="1:25" x14ac:dyDescent="0.35">
      <c r="A28" t="s">
        <v>231</v>
      </c>
      <c r="B28">
        <v>47575885</v>
      </c>
      <c r="C28" t="s">
        <v>140</v>
      </c>
      <c r="D28" t="s">
        <v>232</v>
      </c>
      <c r="E28" t="s">
        <v>142</v>
      </c>
      <c r="F28" t="s">
        <v>143</v>
      </c>
      <c r="G28">
        <v>275</v>
      </c>
      <c r="H28" t="s">
        <v>144</v>
      </c>
      <c r="I28">
        <v>903</v>
      </c>
      <c r="J28" t="s">
        <v>233</v>
      </c>
      <c r="K28">
        <v>51</v>
      </c>
      <c r="L28" t="s">
        <v>146</v>
      </c>
      <c r="M28" t="s">
        <v>147</v>
      </c>
    </row>
    <row r="29" spans="1:25" x14ac:dyDescent="0.35">
      <c r="A29" t="s">
        <v>234</v>
      </c>
      <c r="B29">
        <v>47999876</v>
      </c>
      <c r="C29" t="s">
        <v>140</v>
      </c>
      <c r="D29" t="s">
        <v>235</v>
      </c>
      <c r="E29" t="s">
        <v>142</v>
      </c>
      <c r="F29" t="s">
        <v>143</v>
      </c>
      <c r="G29">
        <v>5131</v>
      </c>
      <c r="H29" t="s">
        <v>144</v>
      </c>
      <c r="I29">
        <v>903</v>
      </c>
      <c r="J29" t="s">
        <v>236</v>
      </c>
      <c r="K29">
        <v>6</v>
      </c>
      <c r="L29" t="s">
        <v>146</v>
      </c>
      <c r="M29" t="s">
        <v>147</v>
      </c>
      <c r="N29" t="s">
        <v>160</v>
      </c>
      <c r="P29">
        <v>5.5</v>
      </c>
      <c r="Q29">
        <v>5500</v>
      </c>
      <c r="R29">
        <v>4950</v>
      </c>
      <c r="S29" t="s">
        <v>161</v>
      </c>
      <c r="X29" t="b">
        <v>1</v>
      </c>
    </row>
    <row r="30" spans="1:25" x14ac:dyDescent="0.35">
      <c r="A30" t="s">
        <v>237</v>
      </c>
      <c r="B30">
        <v>47766713</v>
      </c>
      <c r="C30" t="s">
        <v>140</v>
      </c>
      <c r="D30" t="s">
        <v>238</v>
      </c>
      <c r="E30" t="s">
        <v>142</v>
      </c>
      <c r="F30" t="s">
        <v>143</v>
      </c>
      <c r="G30">
        <v>5</v>
      </c>
      <c r="H30" t="s">
        <v>144</v>
      </c>
      <c r="I30">
        <v>903</v>
      </c>
      <c r="J30" t="s">
        <v>239</v>
      </c>
      <c r="K30">
        <v>35</v>
      </c>
      <c r="L30" t="s">
        <v>146</v>
      </c>
      <c r="M30" t="s">
        <v>147</v>
      </c>
    </row>
    <row r="31" spans="1:25" x14ac:dyDescent="0.35">
      <c r="A31" t="s">
        <v>240</v>
      </c>
      <c r="B31">
        <v>47575879</v>
      </c>
      <c r="C31" t="s">
        <v>140</v>
      </c>
      <c r="D31" t="s">
        <v>241</v>
      </c>
      <c r="E31" t="s">
        <v>142</v>
      </c>
      <c r="F31" t="s">
        <v>143</v>
      </c>
      <c r="G31">
        <v>271</v>
      </c>
      <c r="H31" t="s">
        <v>144</v>
      </c>
      <c r="I31">
        <v>903</v>
      </c>
      <c r="J31" t="s">
        <v>242</v>
      </c>
      <c r="K31">
        <v>47</v>
      </c>
      <c r="L31" t="s">
        <v>146</v>
      </c>
      <c r="M31" t="s">
        <v>147</v>
      </c>
    </row>
    <row r="32" spans="1:25" x14ac:dyDescent="0.35">
      <c r="A32" t="s">
        <v>243</v>
      </c>
      <c r="B32">
        <v>47999873</v>
      </c>
      <c r="C32" t="s">
        <v>140</v>
      </c>
      <c r="D32" t="s">
        <v>244</v>
      </c>
      <c r="E32" t="s">
        <v>142</v>
      </c>
      <c r="F32" t="s">
        <v>143</v>
      </c>
      <c r="G32">
        <v>2891</v>
      </c>
      <c r="H32" t="s">
        <v>144</v>
      </c>
      <c r="I32">
        <v>903</v>
      </c>
      <c r="J32" t="s">
        <v>245</v>
      </c>
      <c r="K32">
        <v>3</v>
      </c>
      <c r="L32" t="s">
        <v>146</v>
      </c>
      <c r="M32" t="s">
        <v>147</v>
      </c>
      <c r="N32" t="s">
        <v>246</v>
      </c>
      <c r="P32">
        <v>4.5</v>
      </c>
      <c r="Q32">
        <v>3000</v>
      </c>
      <c r="R32">
        <v>2728</v>
      </c>
      <c r="S32" t="s">
        <v>247</v>
      </c>
      <c r="Y32" t="b">
        <v>1</v>
      </c>
    </row>
    <row r="33" spans="1:32" x14ac:dyDescent="0.35">
      <c r="A33" t="s">
        <v>248</v>
      </c>
      <c r="B33">
        <v>47575739</v>
      </c>
      <c r="C33" t="s">
        <v>140</v>
      </c>
      <c r="D33" t="s">
        <v>249</v>
      </c>
      <c r="E33" t="s">
        <v>142</v>
      </c>
      <c r="F33" t="s">
        <v>143</v>
      </c>
      <c r="G33">
        <v>453</v>
      </c>
      <c r="H33" t="s">
        <v>144</v>
      </c>
      <c r="I33">
        <v>903</v>
      </c>
      <c r="J33" t="s">
        <v>250</v>
      </c>
      <c r="K33">
        <v>26</v>
      </c>
      <c r="L33" t="s">
        <v>146</v>
      </c>
      <c r="M33" t="s">
        <v>147</v>
      </c>
    </row>
    <row r="34" spans="1:32" x14ac:dyDescent="0.35">
      <c r="A34" t="s">
        <v>251</v>
      </c>
      <c r="B34">
        <v>47575893</v>
      </c>
      <c r="C34" t="s">
        <v>140</v>
      </c>
      <c r="D34" t="s">
        <v>252</v>
      </c>
      <c r="E34" t="s">
        <v>142</v>
      </c>
      <c r="F34" t="s">
        <v>143</v>
      </c>
      <c r="G34">
        <v>417</v>
      </c>
      <c r="H34" t="s">
        <v>144</v>
      </c>
      <c r="I34">
        <v>903</v>
      </c>
      <c r="J34" t="s">
        <v>253</v>
      </c>
      <c r="K34">
        <v>56</v>
      </c>
      <c r="L34" t="s">
        <v>146</v>
      </c>
      <c r="M34" t="s">
        <v>147</v>
      </c>
    </row>
    <row r="35" spans="1:32" x14ac:dyDescent="0.35">
      <c r="A35" t="s">
        <v>254</v>
      </c>
      <c r="B35">
        <v>47808621</v>
      </c>
      <c r="C35" t="s">
        <v>140</v>
      </c>
      <c r="D35" t="s">
        <v>255</v>
      </c>
      <c r="E35" t="s">
        <v>142</v>
      </c>
      <c r="F35" t="s">
        <v>143</v>
      </c>
      <c r="G35">
        <v>409</v>
      </c>
      <c r="H35" t="s">
        <v>144</v>
      </c>
      <c r="I35">
        <v>902</v>
      </c>
      <c r="J35" t="s">
        <v>256</v>
      </c>
      <c r="K35">
        <v>6</v>
      </c>
      <c r="L35" t="s">
        <v>257</v>
      </c>
      <c r="M35" t="s">
        <v>147</v>
      </c>
    </row>
    <row r="36" spans="1:32" x14ac:dyDescent="0.35">
      <c r="A36" t="s">
        <v>258</v>
      </c>
      <c r="B36">
        <v>47575780</v>
      </c>
      <c r="C36" t="s">
        <v>140</v>
      </c>
      <c r="D36" t="s">
        <v>259</v>
      </c>
      <c r="E36" t="s">
        <v>142</v>
      </c>
      <c r="F36" t="s">
        <v>143</v>
      </c>
      <c r="G36">
        <v>35</v>
      </c>
      <c r="H36" t="s">
        <v>144</v>
      </c>
      <c r="I36">
        <v>903</v>
      </c>
      <c r="J36" t="s">
        <v>260</v>
      </c>
      <c r="K36">
        <v>21</v>
      </c>
      <c r="L36" t="s">
        <v>146</v>
      </c>
      <c r="M36" t="s">
        <v>147</v>
      </c>
    </row>
    <row r="37" spans="1:32" x14ac:dyDescent="0.35">
      <c r="A37" t="s">
        <v>261</v>
      </c>
      <c r="B37">
        <v>47808607</v>
      </c>
      <c r="C37" t="s">
        <v>140</v>
      </c>
      <c r="D37" t="s">
        <v>262</v>
      </c>
      <c r="E37" t="s">
        <v>142</v>
      </c>
      <c r="F37" t="s">
        <v>143</v>
      </c>
      <c r="G37">
        <v>900</v>
      </c>
      <c r="H37" t="s">
        <v>144</v>
      </c>
      <c r="I37">
        <v>902</v>
      </c>
      <c r="J37" t="s">
        <v>263</v>
      </c>
      <c r="K37">
        <v>1</v>
      </c>
      <c r="L37" t="s">
        <v>257</v>
      </c>
      <c r="M37" t="s">
        <v>147</v>
      </c>
      <c r="R37">
        <v>850</v>
      </c>
      <c r="S37" t="s">
        <v>264</v>
      </c>
      <c r="W37" t="b">
        <v>1</v>
      </c>
      <c r="Z37">
        <v>2100</v>
      </c>
      <c r="AA37" t="s">
        <v>265</v>
      </c>
      <c r="AB37">
        <v>6400</v>
      </c>
      <c r="AC37" t="s">
        <v>266</v>
      </c>
    </row>
    <row r="38" spans="1:32" x14ac:dyDescent="0.35">
      <c r="A38" t="s">
        <v>267</v>
      </c>
      <c r="B38">
        <v>47575779</v>
      </c>
      <c r="C38" t="s">
        <v>140</v>
      </c>
      <c r="D38" t="s">
        <v>268</v>
      </c>
      <c r="E38" t="s">
        <v>142</v>
      </c>
      <c r="F38" t="s">
        <v>143</v>
      </c>
      <c r="G38">
        <v>17</v>
      </c>
      <c r="H38" t="s">
        <v>144</v>
      </c>
      <c r="I38">
        <v>903</v>
      </c>
      <c r="J38" t="s">
        <v>269</v>
      </c>
      <c r="K38">
        <v>20</v>
      </c>
      <c r="L38" t="s">
        <v>146</v>
      </c>
      <c r="M38" t="s">
        <v>147</v>
      </c>
    </row>
    <row r="39" spans="1:32" x14ac:dyDescent="0.35">
      <c r="A39" t="s">
        <v>270</v>
      </c>
      <c r="B39">
        <v>47575886</v>
      </c>
      <c r="C39" t="s">
        <v>140</v>
      </c>
      <c r="D39" t="s">
        <v>271</v>
      </c>
      <c r="E39" t="s">
        <v>142</v>
      </c>
      <c r="F39" t="s">
        <v>143</v>
      </c>
      <c r="G39">
        <v>284</v>
      </c>
      <c r="H39" t="s">
        <v>144</v>
      </c>
      <c r="I39">
        <v>903</v>
      </c>
      <c r="J39" t="s">
        <v>272</v>
      </c>
      <c r="K39">
        <v>52</v>
      </c>
      <c r="L39" t="s">
        <v>146</v>
      </c>
      <c r="M39" t="s">
        <v>147</v>
      </c>
    </row>
    <row r="40" spans="1:32" x14ac:dyDescent="0.35">
      <c r="A40" t="s">
        <v>273</v>
      </c>
      <c r="B40">
        <v>47922308</v>
      </c>
      <c r="C40" t="s">
        <v>140</v>
      </c>
      <c r="D40" t="s">
        <v>274</v>
      </c>
      <c r="E40" t="s">
        <v>142</v>
      </c>
      <c r="F40" t="s">
        <v>143</v>
      </c>
      <c r="G40">
        <v>409</v>
      </c>
      <c r="H40" t="s">
        <v>144</v>
      </c>
      <c r="I40">
        <v>903</v>
      </c>
      <c r="J40" t="s">
        <v>275</v>
      </c>
      <c r="K40">
        <v>25</v>
      </c>
      <c r="L40" t="s">
        <v>146</v>
      </c>
      <c r="M40" t="s">
        <v>147</v>
      </c>
    </row>
    <row r="41" spans="1:32" x14ac:dyDescent="0.35">
      <c r="A41" t="s">
        <v>276</v>
      </c>
      <c r="B41">
        <v>51427322</v>
      </c>
      <c r="C41" t="s">
        <v>140</v>
      </c>
      <c r="D41" t="s">
        <v>277</v>
      </c>
      <c r="E41" t="s">
        <v>142</v>
      </c>
      <c r="F41" t="s">
        <v>143</v>
      </c>
      <c r="G41">
        <v>305</v>
      </c>
      <c r="H41" t="s">
        <v>144</v>
      </c>
      <c r="I41">
        <v>901</v>
      </c>
      <c r="J41" t="s">
        <v>277</v>
      </c>
      <c r="K41">
        <v>1</v>
      </c>
      <c r="L41" t="s">
        <v>224</v>
      </c>
      <c r="M41" t="s">
        <v>147</v>
      </c>
      <c r="O41" t="b">
        <v>1</v>
      </c>
      <c r="T41" t="b">
        <v>1</v>
      </c>
      <c r="W41" t="b">
        <v>1</v>
      </c>
    </row>
    <row r="42" spans="1:32" x14ac:dyDescent="0.35">
      <c r="A42" t="s">
        <v>278</v>
      </c>
      <c r="B42">
        <v>47808625</v>
      </c>
      <c r="C42" t="s">
        <v>140</v>
      </c>
      <c r="D42" t="s">
        <v>279</v>
      </c>
      <c r="E42" t="s">
        <v>142</v>
      </c>
      <c r="F42" t="s">
        <v>143</v>
      </c>
      <c r="G42">
        <v>744</v>
      </c>
      <c r="H42" t="s">
        <v>144</v>
      </c>
      <c r="I42">
        <v>902</v>
      </c>
      <c r="J42" t="s">
        <v>280</v>
      </c>
      <c r="K42">
        <v>9</v>
      </c>
      <c r="L42" t="s">
        <v>257</v>
      </c>
      <c r="M42" t="s">
        <v>147</v>
      </c>
    </row>
    <row r="43" spans="1:32" x14ac:dyDescent="0.35">
      <c r="A43" t="s">
        <v>281</v>
      </c>
      <c r="B43">
        <v>51427325</v>
      </c>
      <c r="C43" t="s">
        <v>140</v>
      </c>
      <c r="D43" t="s">
        <v>282</v>
      </c>
      <c r="E43" t="s">
        <v>142</v>
      </c>
      <c r="F43" t="s">
        <v>143</v>
      </c>
      <c r="G43">
        <v>345</v>
      </c>
      <c r="H43" t="s">
        <v>144</v>
      </c>
      <c r="I43">
        <v>901</v>
      </c>
      <c r="J43" t="s">
        <v>282</v>
      </c>
      <c r="K43">
        <v>4</v>
      </c>
      <c r="L43" t="s">
        <v>224</v>
      </c>
      <c r="M43" t="s">
        <v>147</v>
      </c>
      <c r="U43" t="b">
        <v>1</v>
      </c>
      <c r="V43" t="b">
        <v>1</v>
      </c>
      <c r="X43" t="b">
        <v>1</v>
      </c>
      <c r="Y43" t="b">
        <v>1</v>
      </c>
      <c r="AD43" t="b">
        <v>1</v>
      </c>
      <c r="AE43" t="b">
        <v>1</v>
      </c>
      <c r="AF43" t="b">
        <v>1</v>
      </c>
    </row>
    <row r="44" spans="1:32" x14ac:dyDescent="0.35">
      <c r="A44" t="s">
        <v>283</v>
      </c>
      <c r="B44">
        <v>47808614</v>
      </c>
      <c r="C44" t="s">
        <v>140</v>
      </c>
      <c r="D44" t="s">
        <v>284</v>
      </c>
      <c r="E44" t="s">
        <v>142</v>
      </c>
      <c r="F44" t="s">
        <v>143</v>
      </c>
      <c r="G44">
        <v>1025</v>
      </c>
      <c r="H44" t="s">
        <v>144</v>
      </c>
      <c r="I44">
        <v>902</v>
      </c>
      <c r="J44" t="s">
        <v>285</v>
      </c>
      <c r="K44">
        <v>2</v>
      </c>
      <c r="L44" t="s">
        <v>257</v>
      </c>
      <c r="M44" t="s">
        <v>147</v>
      </c>
      <c r="R44">
        <v>975</v>
      </c>
      <c r="S44" t="s">
        <v>286</v>
      </c>
      <c r="T44" t="b">
        <v>1</v>
      </c>
      <c r="U44" t="b">
        <v>1</v>
      </c>
      <c r="Y44" t="b">
        <v>1</v>
      </c>
      <c r="Z44">
        <v>2100</v>
      </c>
      <c r="AA44" t="s">
        <v>265</v>
      </c>
      <c r="AB44">
        <v>8000</v>
      </c>
      <c r="AC44" t="s">
        <v>287</v>
      </c>
    </row>
    <row r="45" spans="1:32" x14ac:dyDescent="0.35">
      <c r="A45" t="s">
        <v>288</v>
      </c>
      <c r="B45">
        <v>47808631</v>
      </c>
      <c r="C45" t="s">
        <v>140</v>
      </c>
      <c r="D45" t="s">
        <v>289</v>
      </c>
      <c r="E45" t="s">
        <v>142</v>
      </c>
      <c r="F45" t="s">
        <v>143</v>
      </c>
      <c r="G45">
        <v>1054</v>
      </c>
      <c r="H45" t="s">
        <v>144</v>
      </c>
      <c r="I45">
        <v>902</v>
      </c>
      <c r="J45" t="s">
        <v>290</v>
      </c>
      <c r="K45">
        <v>11</v>
      </c>
      <c r="L45" t="s">
        <v>257</v>
      </c>
      <c r="M45" t="s">
        <v>147</v>
      </c>
    </row>
    <row r="46" spans="1:32" x14ac:dyDescent="0.35">
      <c r="A46" t="s">
        <v>291</v>
      </c>
      <c r="B46">
        <v>47575882</v>
      </c>
      <c r="C46" t="s">
        <v>140</v>
      </c>
      <c r="D46" t="s">
        <v>292</v>
      </c>
      <c r="E46" t="s">
        <v>142</v>
      </c>
      <c r="F46" t="s">
        <v>143</v>
      </c>
      <c r="G46">
        <v>275</v>
      </c>
      <c r="H46" t="s">
        <v>144</v>
      </c>
      <c r="I46">
        <v>903</v>
      </c>
      <c r="J46" t="s">
        <v>293</v>
      </c>
      <c r="K46">
        <v>48</v>
      </c>
      <c r="L46" t="s">
        <v>146</v>
      </c>
      <c r="M46" t="s">
        <v>147</v>
      </c>
    </row>
    <row r="47" spans="1:32" x14ac:dyDescent="0.35">
      <c r="A47" t="s">
        <v>294</v>
      </c>
      <c r="B47">
        <v>47808629</v>
      </c>
      <c r="C47" t="s">
        <v>140</v>
      </c>
      <c r="D47" t="s">
        <v>295</v>
      </c>
      <c r="E47" t="s">
        <v>142</v>
      </c>
      <c r="F47" t="s">
        <v>143</v>
      </c>
      <c r="G47">
        <v>811</v>
      </c>
      <c r="H47" t="s">
        <v>144</v>
      </c>
      <c r="I47">
        <v>902</v>
      </c>
      <c r="J47" t="s">
        <v>296</v>
      </c>
      <c r="K47">
        <v>10</v>
      </c>
      <c r="L47" t="s">
        <v>257</v>
      </c>
      <c r="M47" t="s">
        <v>147</v>
      </c>
    </row>
    <row r="48" spans="1:32" x14ac:dyDescent="0.35">
      <c r="A48" t="s">
        <v>297</v>
      </c>
      <c r="B48">
        <v>47575877</v>
      </c>
      <c r="C48" t="s">
        <v>140</v>
      </c>
      <c r="D48" t="s">
        <v>298</v>
      </c>
      <c r="E48" t="s">
        <v>142</v>
      </c>
      <c r="F48" t="s">
        <v>143</v>
      </c>
      <c r="G48">
        <v>262</v>
      </c>
      <c r="H48" t="s">
        <v>144</v>
      </c>
      <c r="I48">
        <v>903</v>
      </c>
      <c r="J48" t="s">
        <v>299</v>
      </c>
      <c r="K48">
        <v>46</v>
      </c>
      <c r="L48" t="s">
        <v>146</v>
      </c>
      <c r="M48" t="s">
        <v>147</v>
      </c>
    </row>
    <row r="49" spans="1:33" x14ac:dyDescent="0.35">
      <c r="A49" t="s">
        <v>300</v>
      </c>
      <c r="B49">
        <v>47575854</v>
      </c>
      <c r="C49" t="s">
        <v>140</v>
      </c>
      <c r="D49" t="s">
        <v>301</v>
      </c>
      <c r="E49" t="s">
        <v>142</v>
      </c>
      <c r="F49" t="s">
        <v>143</v>
      </c>
      <c r="G49">
        <v>82</v>
      </c>
      <c r="H49" t="s">
        <v>144</v>
      </c>
      <c r="I49">
        <v>903</v>
      </c>
      <c r="J49" t="s">
        <v>302</v>
      </c>
      <c r="K49">
        <v>36</v>
      </c>
      <c r="L49" t="s">
        <v>146</v>
      </c>
      <c r="M49" t="s">
        <v>147</v>
      </c>
    </row>
    <row r="50" spans="1:33" x14ac:dyDescent="0.35">
      <c r="A50" t="s">
        <v>303</v>
      </c>
      <c r="B50">
        <v>47808616</v>
      </c>
      <c r="C50" t="s">
        <v>140</v>
      </c>
      <c r="D50" t="s">
        <v>304</v>
      </c>
      <c r="E50" t="s">
        <v>142</v>
      </c>
      <c r="F50" t="s">
        <v>143</v>
      </c>
      <c r="G50">
        <v>2250</v>
      </c>
      <c r="H50" t="s">
        <v>144</v>
      </c>
      <c r="I50">
        <v>902</v>
      </c>
      <c r="J50" t="s">
        <v>305</v>
      </c>
      <c r="K50">
        <v>4</v>
      </c>
      <c r="L50" t="s">
        <v>257</v>
      </c>
      <c r="M50" t="s">
        <v>147</v>
      </c>
      <c r="R50">
        <v>2200</v>
      </c>
      <c r="S50" t="s">
        <v>306</v>
      </c>
      <c r="V50" t="b">
        <v>1</v>
      </c>
      <c r="Z50">
        <v>2100</v>
      </c>
      <c r="AA50" t="s">
        <v>307</v>
      </c>
      <c r="AB50">
        <v>22000</v>
      </c>
      <c r="AC50" t="s">
        <v>308</v>
      </c>
      <c r="AF50" t="b">
        <v>1</v>
      </c>
    </row>
    <row r="51" spans="1:33" x14ac:dyDescent="0.35">
      <c r="A51" t="s">
        <v>309</v>
      </c>
      <c r="B51">
        <v>47999877</v>
      </c>
      <c r="C51" t="s">
        <v>140</v>
      </c>
      <c r="D51" t="s">
        <v>310</v>
      </c>
      <c r="E51" t="s">
        <v>142</v>
      </c>
      <c r="F51" t="s">
        <v>143</v>
      </c>
      <c r="G51">
        <v>6125</v>
      </c>
      <c r="H51" t="s">
        <v>144</v>
      </c>
      <c r="I51">
        <v>903</v>
      </c>
      <c r="J51" t="s">
        <v>311</v>
      </c>
      <c r="K51">
        <v>8</v>
      </c>
      <c r="L51" t="s">
        <v>146</v>
      </c>
      <c r="M51" t="s">
        <v>147</v>
      </c>
      <c r="N51" t="s">
        <v>194</v>
      </c>
      <c r="P51">
        <v>5.8</v>
      </c>
      <c r="Q51">
        <v>7500</v>
      </c>
      <c r="R51">
        <v>5940</v>
      </c>
      <c r="S51" t="s">
        <v>195</v>
      </c>
      <c r="AF51" t="b">
        <v>1</v>
      </c>
    </row>
    <row r="52" spans="1:33" x14ac:dyDescent="0.35">
      <c r="A52" t="s">
        <v>312</v>
      </c>
      <c r="B52">
        <v>47808624</v>
      </c>
      <c r="C52" t="s">
        <v>140</v>
      </c>
      <c r="D52" t="s">
        <v>313</v>
      </c>
      <c r="E52" t="s">
        <v>142</v>
      </c>
      <c r="F52" t="s">
        <v>143</v>
      </c>
      <c r="G52">
        <v>631</v>
      </c>
      <c r="H52" t="s">
        <v>144</v>
      </c>
      <c r="I52">
        <v>902</v>
      </c>
      <c r="J52" t="s">
        <v>314</v>
      </c>
      <c r="K52">
        <v>8</v>
      </c>
      <c r="L52" t="s">
        <v>257</v>
      </c>
      <c r="M52" t="s">
        <v>147</v>
      </c>
    </row>
    <row r="53" spans="1:33" x14ac:dyDescent="0.35">
      <c r="A53" t="s">
        <v>315</v>
      </c>
      <c r="B53">
        <v>47575667</v>
      </c>
      <c r="C53" t="s">
        <v>140</v>
      </c>
      <c r="D53" t="s">
        <v>316</v>
      </c>
      <c r="E53" t="s">
        <v>142</v>
      </c>
      <c r="F53" t="s">
        <v>143</v>
      </c>
      <c r="G53">
        <v>3475</v>
      </c>
      <c r="H53" t="s">
        <v>144</v>
      </c>
      <c r="I53">
        <v>903</v>
      </c>
      <c r="J53" t="s">
        <v>317</v>
      </c>
      <c r="K53">
        <v>15</v>
      </c>
      <c r="L53" t="s">
        <v>146</v>
      </c>
      <c r="M53" t="s">
        <v>147</v>
      </c>
    </row>
    <row r="54" spans="1:33" x14ac:dyDescent="0.35">
      <c r="A54" t="s">
        <v>318</v>
      </c>
      <c r="B54">
        <v>47808622</v>
      </c>
      <c r="C54" t="s">
        <v>140</v>
      </c>
      <c r="D54" t="s">
        <v>319</v>
      </c>
      <c r="E54" t="s">
        <v>142</v>
      </c>
      <c r="F54" t="s">
        <v>143</v>
      </c>
      <c r="G54">
        <v>453</v>
      </c>
      <c r="H54" t="s">
        <v>144</v>
      </c>
      <c r="I54">
        <v>902</v>
      </c>
      <c r="J54" t="s">
        <v>320</v>
      </c>
      <c r="K54">
        <v>7</v>
      </c>
      <c r="L54" t="s">
        <v>257</v>
      </c>
      <c r="M54" t="s">
        <v>147</v>
      </c>
    </row>
    <row r="55" spans="1:33" x14ac:dyDescent="0.35">
      <c r="A55" t="s">
        <v>321</v>
      </c>
      <c r="B55">
        <v>47575671</v>
      </c>
      <c r="C55" t="s">
        <v>140</v>
      </c>
      <c r="D55" t="s">
        <v>322</v>
      </c>
      <c r="E55" t="s">
        <v>142</v>
      </c>
      <c r="F55" t="s">
        <v>143</v>
      </c>
      <c r="G55">
        <v>4352</v>
      </c>
      <c r="H55" t="s">
        <v>144</v>
      </c>
      <c r="I55">
        <v>903</v>
      </c>
      <c r="J55" t="s">
        <v>323</v>
      </c>
      <c r="K55">
        <v>16</v>
      </c>
      <c r="L55" t="s">
        <v>146</v>
      </c>
      <c r="M55" t="s">
        <v>147</v>
      </c>
    </row>
    <row r="56" spans="1:33" x14ac:dyDescent="0.35">
      <c r="A56" t="s">
        <v>324</v>
      </c>
      <c r="B56">
        <v>51571343</v>
      </c>
      <c r="C56" t="s">
        <v>140</v>
      </c>
      <c r="D56" t="s">
        <v>325</v>
      </c>
      <c r="E56" t="s">
        <v>142</v>
      </c>
      <c r="F56" t="s">
        <v>143</v>
      </c>
      <c r="G56">
        <v>8315</v>
      </c>
      <c r="H56" t="s">
        <v>144</v>
      </c>
      <c r="I56">
        <v>903</v>
      </c>
      <c r="J56" t="s">
        <v>326</v>
      </c>
      <c r="K56">
        <v>11</v>
      </c>
      <c r="L56" t="s">
        <v>146</v>
      </c>
      <c r="M56" t="s">
        <v>147</v>
      </c>
      <c r="N56" t="s">
        <v>327</v>
      </c>
      <c r="P56">
        <v>6.3</v>
      </c>
      <c r="Q56">
        <v>10000</v>
      </c>
      <c r="R56">
        <v>7920</v>
      </c>
      <c r="S56" t="s">
        <v>328</v>
      </c>
      <c r="AG56" t="b">
        <v>1</v>
      </c>
    </row>
    <row r="57" spans="1:33" x14ac:dyDescent="0.35">
      <c r="A57" t="s">
        <v>329</v>
      </c>
      <c r="B57">
        <v>51571342</v>
      </c>
      <c r="C57" t="s">
        <v>140</v>
      </c>
      <c r="D57" t="s">
        <v>330</v>
      </c>
      <c r="E57" t="s">
        <v>142</v>
      </c>
      <c r="F57" t="s">
        <v>143</v>
      </c>
      <c r="G57">
        <v>1527</v>
      </c>
      <c r="H57" t="s">
        <v>144</v>
      </c>
      <c r="I57">
        <v>903</v>
      </c>
      <c r="J57" t="s">
        <v>331</v>
      </c>
      <c r="K57">
        <v>33</v>
      </c>
      <c r="L57" t="s">
        <v>146</v>
      </c>
      <c r="M57" t="s">
        <v>147</v>
      </c>
    </row>
    <row r="58" spans="1:33" x14ac:dyDescent="0.35">
      <c r="A58" t="s">
        <v>332</v>
      </c>
      <c r="B58">
        <v>47575876</v>
      </c>
      <c r="C58" t="s">
        <v>140</v>
      </c>
      <c r="D58" t="s">
        <v>333</v>
      </c>
      <c r="E58" t="s">
        <v>142</v>
      </c>
      <c r="F58" t="s">
        <v>143</v>
      </c>
      <c r="G58">
        <v>254</v>
      </c>
      <c r="H58" t="s">
        <v>144</v>
      </c>
      <c r="I58">
        <v>903</v>
      </c>
      <c r="J58" t="s">
        <v>334</v>
      </c>
      <c r="K58">
        <v>45</v>
      </c>
      <c r="L58" t="s">
        <v>146</v>
      </c>
      <c r="M58" t="s">
        <v>147</v>
      </c>
    </row>
    <row r="59" spans="1:33" x14ac:dyDescent="0.35">
      <c r="A59" t="s">
        <v>335</v>
      </c>
      <c r="B59">
        <v>47808620</v>
      </c>
      <c r="C59" t="s">
        <v>140</v>
      </c>
      <c r="D59" t="s">
        <v>336</v>
      </c>
      <c r="E59" t="s">
        <v>142</v>
      </c>
      <c r="F59" t="s">
        <v>143</v>
      </c>
      <c r="G59">
        <v>254</v>
      </c>
      <c r="H59" t="s">
        <v>144</v>
      </c>
      <c r="I59">
        <v>902</v>
      </c>
      <c r="J59" t="s">
        <v>337</v>
      </c>
      <c r="K59">
        <v>5</v>
      </c>
      <c r="L59" t="s">
        <v>257</v>
      </c>
      <c r="M59" t="s">
        <v>147</v>
      </c>
    </row>
    <row r="60" spans="1:33" x14ac:dyDescent="0.35">
      <c r="A60" t="s">
        <v>338</v>
      </c>
      <c r="B60">
        <v>47575744</v>
      </c>
      <c r="C60" t="s">
        <v>140</v>
      </c>
      <c r="D60" t="s">
        <v>339</v>
      </c>
      <c r="E60" t="s">
        <v>142</v>
      </c>
      <c r="F60" t="s">
        <v>143</v>
      </c>
      <c r="G60">
        <v>1054</v>
      </c>
      <c r="H60" t="s">
        <v>144</v>
      </c>
      <c r="I60">
        <v>903</v>
      </c>
      <c r="J60" t="s">
        <v>340</v>
      </c>
      <c r="K60">
        <v>31</v>
      </c>
      <c r="L60" t="s">
        <v>146</v>
      </c>
      <c r="M60" t="s">
        <v>147</v>
      </c>
    </row>
    <row r="61" spans="1:33" x14ac:dyDescent="0.35">
      <c r="A61" t="s">
        <v>341</v>
      </c>
      <c r="B61">
        <v>47575676</v>
      </c>
      <c r="C61" t="s">
        <v>140</v>
      </c>
      <c r="D61" t="s">
        <v>342</v>
      </c>
      <c r="E61" t="s">
        <v>142</v>
      </c>
      <c r="F61" t="s">
        <v>143</v>
      </c>
      <c r="G61">
        <v>6740</v>
      </c>
      <c r="H61" t="s">
        <v>144</v>
      </c>
      <c r="I61">
        <v>903</v>
      </c>
      <c r="J61" t="s">
        <v>343</v>
      </c>
      <c r="K61">
        <v>18</v>
      </c>
      <c r="L61" t="s">
        <v>146</v>
      </c>
      <c r="M61" t="s">
        <v>147</v>
      </c>
    </row>
    <row r="62" spans="1:33" x14ac:dyDescent="0.35">
      <c r="A62" t="s">
        <v>344</v>
      </c>
      <c r="B62">
        <v>47575871</v>
      </c>
      <c r="C62" t="s">
        <v>140</v>
      </c>
      <c r="D62" t="s">
        <v>345</v>
      </c>
      <c r="E62" t="s">
        <v>142</v>
      </c>
      <c r="F62" t="s">
        <v>143</v>
      </c>
      <c r="G62">
        <v>146</v>
      </c>
      <c r="H62" t="s">
        <v>144</v>
      </c>
      <c r="I62">
        <v>903</v>
      </c>
      <c r="J62" t="s">
        <v>346</v>
      </c>
      <c r="K62">
        <v>42</v>
      </c>
      <c r="L62" t="s">
        <v>146</v>
      </c>
      <c r="M62" t="s">
        <v>147</v>
      </c>
    </row>
    <row r="63" spans="1:33" x14ac:dyDescent="0.35">
      <c r="A63" t="s">
        <v>347</v>
      </c>
      <c r="B63">
        <v>47575884</v>
      </c>
      <c r="C63" t="s">
        <v>140</v>
      </c>
      <c r="D63" t="s">
        <v>348</v>
      </c>
      <c r="E63" t="s">
        <v>142</v>
      </c>
      <c r="F63" t="s">
        <v>143</v>
      </c>
      <c r="G63">
        <v>275</v>
      </c>
      <c r="H63" t="s">
        <v>144</v>
      </c>
      <c r="I63">
        <v>903</v>
      </c>
      <c r="J63" t="s">
        <v>349</v>
      </c>
      <c r="K63">
        <v>50</v>
      </c>
      <c r="L63" t="s">
        <v>146</v>
      </c>
      <c r="M63" t="s">
        <v>147</v>
      </c>
    </row>
    <row r="64" spans="1:33" x14ac:dyDescent="0.35">
      <c r="A64" t="s">
        <v>350</v>
      </c>
      <c r="B64">
        <v>51499028</v>
      </c>
      <c r="C64" t="s">
        <v>140</v>
      </c>
      <c r="D64" t="s">
        <v>351</v>
      </c>
      <c r="E64" t="s">
        <v>142</v>
      </c>
      <c r="F64" t="s">
        <v>143</v>
      </c>
      <c r="G64">
        <v>5135</v>
      </c>
      <c r="H64" t="s">
        <v>144</v>
      </c>
      <c r="I64">
        <v>903</v>
      </c>
      <c r="J64" t="s">
        <v>352</v>
      </c>
      <c r="K64">
        <v>7</v>
      </c>
      <c r="L64" t="s">
        <v>146</v>
      </c>
      <c r="M64" t="s">
        <v>147</v>
      </c>
      <c r="N64" t="s">
        <v>160</v>
      </c>
      <c r="P64">
        <v>5.5</v>
      </c>
      <c r="Q64">
        <v>5500</v>
      </c>
      <c r="R64">
        <v>4950</v>
      </c>
      <c r="S64" t="s">
        <v>161</v>
      </c>
      <c r="AF64" t="b">
        <v>1</v>
      </c>
    </row>
    <row r="65" spans="1:33" x14ac:dyDescent="0.35">
      <c r="A65" t="s">
        <v>353</v>
      </c>
      <c r="B65">
        <v>47808615</v>
      </c>
      <c r="C65" t="s">
        <v>140</v>
      </c>
      <c r="D65" t="s">
        <v>354</v>
      </c>
      <c r="E65" t="s">
        <v>142</v>
      </c>
      <c r="F65" t="s">
        <v>143</v>
      </c>
      <c r="G65">
        <v>1475</v>
      </c>
      <c r="H65" t="s">
        <v>144</v>
      </c>
      <c r="I65">
        <v>902</v>
      </c>
      <c r="J65" t="s">
        <v>355</v>
      </c>
      <c r="K65">
        <v>3</v>
      </c>
      <c r="L65" t="s">
        <v>257</v>
      </c>
      <c r="M65" t="s">
        <v>147</v>
      </c>
      <c r="O65" t="b">
        <v>1</v>
      </c>
      <c r="R65">
        <v>1425</v>
      </c>
      <c r="S65" t="s">
        <v>356</v>
      </c>
      <c r="X65" t="b">
        <v>1</v>
      </c>
      <c r="Z65">
        <v>2100</v>
      </c>
      <c r="AA65" t="s">
        <v>307</v>
      </c>
      <c r="AB65">
        <v>11350</v>
      </c>
      <c r="AC65" t="s">
        <v>357</v>
      </c>
      <c r="AD65" t="b">
        <v>1</v>
      </c>
    </row>
    <row r="66" spans="1:33" x14ac:dyDescent="0.35">
      <c r="A66" t="s">
        <v>358</v>
      </c>
      <c r="B66">
        <v>47999874</v>
      </c>
      <c r="C66" t="s">
        <v>140</v>
      </c>
      <c r="D66" t="s">
        <v>359</v>
      </c>
      <c r="E66" t="s">
        <v>142</v>
      </c>
      <c r="F66" t="s">
        <v>143</v>
      </c>
      <c r="G66">
        <v>4042</v>
      </c>
      <c r="H66" t="s">
        <v>144</v>
      </c>
      <c r="I66">
        <v>903</v>
      </c>
      <c r="J66" t="s">
        <v>360</v>
      </c>
      <c r="K66">
        <v>4</v>
      </c>
      <c r="L66" t="s">
        <v>146</v>
      </c>
      <c r="M66" t="s">
        <v>147</v>
      </c>
      <c r="N66" t="s">
        <v>361</v>
      </c>
      <c r="O66" t="b">
        <v>1</v>
      </c>
      <c r="P66">
        <v>5.3</v>
      </c>
      <c r="Q66">
        <v>4500</v>
      </c>
      <c r="R66">
        <v>3861</v>
      </c>
      <c r="S66" t="s">
        <v>362</v>
      </c>
      <c r="AD66" t="b">
        <v>1</v>
      </c>
    </row>
    <row r="67" spans="1:33" x14ac:dyDescent="0.35">
      <c r="A67" t="s">
        <v>363</v>
      </c>
      <c r="B67">
        <v>47575855</v>
      </c>
      <c r="C67" t="s">
        <v>140</v>
      </c>
      <c r="D67" t="s">
        <v>364</v>
      </c>
      <c r="E67" t="s">
        <v>142</v>
      </c>
      <c r="F67" t="s">
        <v>143</v>
      </c>
      <c r="G67">
        <v>86</v>
      </c>
      <c r="H67" t="s">
        <v>144</v>
      </c>
      <c r="I67">
        <v>903</v>
      </c>
      <c r="J67" t="s">
        <v>365</v>
      </c>
      <c r="K67">
        <v>37</v>
      </c>
      <c r="L67" t="s">
        <v>146</v>
      </c>
      <c r="M67" t="s">
        <v>147</v>
      </c>
    </row>
    <row r="68" spans="1:33" x14ac:dyDescent="0.35">
      <c r="H68" t="s">
        <v>366</v>
      </c>
      <c r="O68" t="b">
        <v>0</v>
      </c>
      <c r="T68" t="s">
        <v>366</v>
      </c>
      <c r="V68" t="b">
        <v>0</v>
      </c>
      <c r="W68" t="b">
        <v>0</v>
      </c>
      <c r="X68" t="b">
        <v>0</v>
      </c>
      <c r="Y68" t="b">
        <v>0</v>
      </c>
      <c r="AD68" t="b">
        <v>0</v>
      </c>
      <c r="AE68" t="b">
        <v>0</v>
      </c>
      <c r="AF68" t="b">
        <v>0</v>
      </c>
      <c r="AG68" t="b">
        <v>0</v>
      </c>
    </row>
    <row r="69" spans="1:33" x14ac:dyDescent="0.35">
      <c r="A69" t="s">
        <v>367</v>
      </c>
      <c r="B69">
        <v>47575890</v>
      </c>
      <c r="C69" t="s">
        <v>140</v>
      </c>
      <c r="D69" t="s">
        <v>368</v>
      </c>
      <c r="E69" t="s">
        <v>142</v>
      </c>
      <c r="F69" t="s">
        <v>143</v>
      </c>
      <c r="G69">
        <v>417</v>
      </c>
      <c r="H69" t="s">
        <v>144</v>
      </c>
      <c r="I69">
        <v>903</v>
      </c>
      <c r="J69" t="s">
        <v>369</v>
      </c>
      <c r="K69">
        <v>54</v>
      </c>
      <c r="L69" t="s">
        <v>146</v>
      </c>
      <c r="M69" t="s">
        <v>147</v>
      </c>
    </row>
    <row r="70" spans="1:33" x14ac:dyDescent="0.35">
      <c r="A70" t="s">
        <v>370</v>
      </c>
      <c r="B70">
        <v>47922309</v>
      </c>
      <c r="C70" t="s">
        <v>140</v>
      </c>
      <c r="D70" t="s">
        <v>371</v>
      </c>
      <c r="E70" t="s">
        <v>142</v>
      </c>
      <c r="F70" t="s">
        <v>143</v>
      </c>
      <c r="G70">
        <v>146</v>
      </c>
      <c r="H70" t="s">
        <v>144</v>
      </c>
      <c r="I70">
        <v>903</v>
      </c>
      <c r="J70" t="s">
        <v>372</v>
      </c>
      <c r="K70">
        <v>39</v>
      </c>
      <c r="L70" t="s">
        <v>146</v>
      </c>
      <c r="M70" t="s">
        <v>147</v>
      </c>
    </row>
    <row r="71" spans="1:33" x14ac:dyDescent="0.35">
      <c r="A71" t="s">
        <v>373</v>
      </c>
      <c r="B71">
        <v>47575741</v>
      </c>
      <c r="C71" t="s">
        <v>140</v>
      </c>
      <c r="D71" t="s">
        <v>374</v>
      </c>
      <c r="E71" t="s">
        <v>142</v>
      </c>
      <c r="F71" t="s">
        <v>143</v>
      </c>
      <c r="G71">
        <v>631</v>
      </c>
      <c r="H71" t="s">
        <v>144</v>
      </c>
      <c r="I71">
        <v>903</v>
      </c>
      <c r="J71" t="s">
        <v>375</v>
      </c>
      <c r="K71">
        <v>28</v>
      </c>
      <c r="L71" t="s">
        <v>146</v>
      </c>
      <c r="M71" t="s">
        <v>147</v>
      </c>
    </row>
    <row r="72" spans="1:33" x14ac:dyDescent="0.35">
      <c r="A72" t="s">
        <v>376</v>
      </c>
      <c r="B72">
        <v>51427324</v>
      </c>
      <c r="C72" t="s">
        <v>140</v>
      </c>
      <c r="D72" t="s">
        <v>377</v>
      </c>
      <c r="E72" t="s">
        <v>142</v>
      </c>
      <c r="F72" t="s">
        <v>143</v>
      </c>
      <c r="G72">
        <v>310</v>
      </c>
      <c r="H72" t="s">
        <v>144</v>
      </c>
      <c r="I72">
        <v>901</v>
      </c>
      <c r="J72" t="s">
        <v>377</v>
      </c>
      <c r="K72">
        <v>3</v>
      </c>
      <c r="L72" t="s">
        <v>224</v>
      </c>
      <c r="M72" t="s">
        <v>147</v>
      </c>
      <c r="U72" t="b">
        <v>1</v>
      </c>
      <c r="V72" t="b">
        <v>1</v>
      </c>
      <c r="X72" t="b">
        <v>1</v>
      </c>
      <c r="Y72" t="b">
        <v>1</v>
      </c>
      <c r="AD72" t="b">
        <v>1</v>
      </c>
      <c r="AE72" t="b">
        <v>1</v>
      </c>
      <c r="AF72" t="b">
        <v>1</v>
      </c>
    </row>
    <row r="73" spans="1:33" x14ac:dyDescent="0.35">
      <c r="A73" t="s">
        <v>378</v>
      </c>
      <c r="B73">
        <v>47999879</v>
      </c>
      <c r="C73" t="s">
        <v>140</v>
      </c>
      <c r="D73" t="s">
        <v>379</v>
      </c>
      <c r="E73" t="s">
        <v>142</v>
      </c>
      <c r="F73" t="s">
        <v>143</v>
      </c>
      <c r="G73">
        <v>8168</v>
      </c>
      <c r="H73" t="s">
        <v>144</v>
      </c>
      <c r="I73">
        <v>903</v>
      </c>
      <c r="J73" t="s">
        <v>380</v>
      </c>
      <c r="K73">
        <v>10</v>
      </c>
      <c r="L73" t="s">
        <v>146</v>
      </c>
      <c r="M73" t="s">
        <v>147</v>
      </c>
      <c r="N73" t="s">
        <v>327</v>
      </c>
      <c r="P73">
        <v>6.3</v>
      </c>
      <c r="Q73">
        <v>10000</v>
      </c>
      <c r="R73">
        <v>7920</v>
      </c>
      <c r="S73" t="s">
        <v>328</v>
      </c>
      <c r="AE73" t="b">
        <v>1</v>
      </c>
    </row>
  </sheetData>
  <pageMargins left="0.7" right="0.7" top="0.75" bottom="0.75" header="0.3" footer="0.3"/>
  <headerFooter>
    <oddHeader>&amp;L&amp;"Aptos"&amp;10&amp;K000000 General Business&amp;1#_x000D_</oddHeader>
  </headerFooter>
  <ignoredErrors>
    <ignoredError sqref="A1:EI7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FCDA7-41D5-4DA6-8E07-013E4B987163}">
  <dimension ref="C3:L141"/>
  <sheetViews>
    <sheetView tabSelected="1" topLeftCell="A31" workbookViewId="0">
      <selection activeCell="L34" sqref="L34:L46"/>
    </sheetView>
  </sheetViews>
  <sheetFormatPr defaultRowHeight="15.5" x14ac:dyDescent="0.35"/>
  <cols>
    <col min="9" max="9" width="22" bestFit="1" customWidth="1"/>
  </cols>
  <sheetData>
    <row r="3" spans="3:3" x14ac:dyDescent="0.35">
      <c r="C3" t="s">
        <v>0</v>
      </c>
    </row>
    <row r="4" spans="3:3" x14ac:dyDescent="0.35">
      <c r="C4" t="s">
        <v>125</v>
      </c>
    </row>
    <row r="5" spans="3:3" x14ac:dyDescent="0.35">
      <c r="C5" t="s">
        <v>4</v>
      </c>
    </row>
    <row r="6" spans="3:3" x14ac:dyDescent="0.35">
      <c r="C6" t="s">
        <v>11</v>
      </c>
    </row>
    <row r="7" spans="3:3" x14ac:dyDescent="0.35">
      <c r="C7" t="s">
        <v>9</v>
      </c>
    </row>
    <row r="8" spans="3:3" x14ac:dyDescent="0.35">
      <c r="C8" t="s">
        <v>8</v>
      </c>
    </row>
    <row r="9" spans="3:3" x14ac:dyDescent="0.35">
      <c r="C9" t="s">
        <v>130</v>
      </c>
    </row>
    <row r="10" spans="3:3" x14ac:dyDescent="0.35">
      <c r="C10" t="s">
        <v>102</v>
      </c>
    </row>
    <row r="11" spans="3:3" x14ac:dyDescent="0.35">
      <c r="C11" t="s">
        <v>83</v>
      </c>
    </row>
    <row r="12" spans="3:3" x14ac:dyDescent="0.35">
      <c r="C12" t="s">
        <v>28</v>
      </c>
    </row>
    <row r="13" spans="3:3" x14ac:dyDescent="0.35">
      <c r="C13" t="s">
        <v>110</v>
      </c>
    </row>
    <row r="14" spans="3:3" x14ac:dyDescent="0.35">
      <c r="C14" t="s">
        <v>66</v>
      </c>
    </row>
    <row r="15" spans="3:3" x14ac:dyDescent="0.35">
      <c r="C15" t="s">
        <v>55</v>
      </c>
    </row>
    <row r="16" spans="3:3" x14ac:dyDescent="0.35">
      <c r="C16" t="s">
        <v>67</v>
      </c>
    </row>
    <row r="17" spans="3:3" x14ac:dyDescent="0.35">
      <c r="C17" t="s">
        <v>13</v>
      </c>
    </row>
    <row r="18" spans="3:3" x14ac:dyDescent="0.35">
      <c r="C18" t="s">
        <v>87</v>
      </c>
    </row>
    <row r="19" spans="3:3" x14ac:dyDescent="0.35">
      <c r="C19" t="s">
        <v>122</v>
      </c>
    </row>
    <row r="20" spans="3:3" x14ac:dyDescent="0.35">
      <c r="C20" t="s">
        <v>5</v>
      </c>
    </row>
    <row r="21" spans="3:3" x14ac:dyDescent="0.35">
      <c r="C21" t="s">
        <v>36</v>
      </c>
    </row>
    <row r="22" spans="3:3" x14ac:dyDescent="0.35">
      <c r="C22" t="s">
        <v>135</v>
      </c>
    </row>
    <row r="23" spans="3:3" x14ac:dyDescent="0.35">
      <c r="C23" t="s">
        <v>101</v>
      </c>
    </row>
    <row r="24" spans="3:3" x14ac:dyDescent="0.35">
      <c r="C24" t="s">
        <v>2</v>
      </c>
    </row>
    <row r="25" spans="3:3" x14ac:dyDescent="0.35">
      <c r="C25" t="s">
        <v>77</v>
      </c>
    </row>
    <row r="26" spans="3:3" x14ac:dyDescent="0.35">
      <c r="C26" t="s">
        <v>138</v>
      </c>
    </row>
    <row r="27" spans="3:3" x14ac:dyDescent="0.35">
      <c r="C27" t="s">
        <v>124</v>
      </c>
    </row>
    <row r="28" spans="3:3" x14ac:dyDescent="0.35">
      <c r="C28" t="s">
        <v>117</v>
      </c>
    </row>
    <row r="29" spans="3:3" x14ac:dyDescent="0.35">
      <c r="C29" t="s">
        <v>72</v>
      </c>
    </row>
    <row r="30" spans="3:3" x14ac:dyDescent="0.35">
      <c r="C30" t="s">
        <v>12</v>
      </c>
    </row>
    <row r="31" spans="3:3" x14ac:dyDescent="0.35">
      <c r="C31" t="s">
        <v>120</v>
      </c>
    </row>
    <row r="32" spans="3:3" x14ac:dyDescent="0.35">
      <c r="C32" t="s">
        <v>59</v>
      </c>
    </row>
    <row r="33" spans="3:12" x14ac:dyDescent="0.35">
      <c r="C33" t="s">
        <v>71</v>
      </c>
    </row>
    <row r="34" spans="3:12" x14ac:dyDescent="0.35">
      <c r="C34" t="s">
        <v>112</v>
      </c>
      <c r="I34" t="s">
        <v>22</v>
      </c>
      <c r="J34" t="str">
        <f>"""&amp;I34"""&amp;","</f>
        <v>"&amp;I34",</v>
      </c>
      <c r="L34" t="str">
        <f>""""&amp;I34&amp;""""&amp;","</f>
        <v>"CX75CSR_CX80C",</v>
      </c>
    </row>
    <row r="35" spans="3:12" x14ac:dyDescent="0.35">
      <c r="I35" t="s">
        <v>20</v>
      </c>
      <c r="L35" t="str">
        <f t="shared" ref="L35:L46" si="0">""""&amp;I35&amp;""""&amp;","</f>
        <v>"CX130C_D",</v>
      </c>
    </row>
    <row r="36" spans="3:12" x14ac:dyDescent="0.35">
      <c r="I36" t="s">
        <v>19</v>
      </c>
      <c r="L36" t="str">
        <f t="shared" si="0"/>
        <v>"CX145C_D_SR",</v>
      </c>
    </row>
    <row r="37" spans="3:12" x14ac:dyDescent="0.35">
      <c r="I37" t="s">
        <v>24</v>
      </c>
      <c r="L37" t="str">
        <f t="shared" si="0"/>
        <v>"CX160C_D",</v>
      </c>
    </row>
    <row r="38" spans="3:12" x14ac:dyDescent="0.35">
      <c r="I38" t="s">
        <v>29</v>
      </c>
      <c r="L38" t="str">
        <f t="shared" si="0"/>
        <v>"CX210C_D",</v>
      </c>
    </row>
    <row r="39" spans="3:12" x14ac:dyDescent="0.35">
      <c r="I39" t="s">
        <v>14</v>
      </c>
      <c r="L39" t="str">
        <f t="shared" si="0"/>
        <v>"CX235C_SR_CX245D_SR",</v>
      </c>
    </row>
    <row r="40" spans="3:12" x14ac:dyDescent="0.35">
      <c r="I40" t="s">
        <v>23</v>
      </c>
      <c r="L40" t="str">
        <f t="shared" si="0"/>
        <v>"CX250C_D",</v>
      </c>
    </row>
    <row r="41" spans="3:12" x14ac:dyDescent="0.35">
      <c r="I41" t="s">
        <v>31</v>
      </c>
      <c r="L41" t="str">
        <f t="shared" si="0"/>
        <v>"CX300C_D",</v>
      </c>
    </row>
    <row r="42" spans="3:12" x14ac:dyDescent="0.35">
      <c r="I42" t="s">
        <v>21</v>
      </c>
      <c r="L42" t="str">
        <f t="shared" si="0"/>
        <v>"CX350C_D",</v>
      </c>
    </row>
    <row r="43" spans="3:12" x14ac:dyDescent="0.35">
      <c r="I43" t="s">
        <v>30</v>
      </c>
      <c r="L43" t="str">
        <f t="shared" si="0"/>
        <v>"CX470C_CX490D",</v>
      </c>
    </row>
    <row r="44" spans="3:12" x14ac:dyDescent="0.35">
      <c r="I44" t="s">
        <v>32</v>
      </c>
      <c r="L44" t="str">
        <f t="shared" si="0"/>
        <v>"CX470C_ME_CX500D_ME",</v>
      </c>
    </row>
    <row r="45" spans="3:12" x14ac:dyDescent="0.35">
      <c r="I45" t="s">
        <v>381</v>
      </c>
      <c r="L45" t="str">
        <f t="shared" si="0"/>
        <v>"CX750D_ME",</v>
      </c>
    </row>
    <row r="46" spans="3:12" x14ac:dyDescent="0.35">
      <c r="C46" t="s">
        <v>25</v>
      </c>
      <c r="I46" t="s">
        <v>382</v>
      </c>
      <c r="L46" t="str">
        <f t="shared" si="0"/>
        <v>"CX750D",</v>
      </c>
    </row>
    <row r="47" spans="3:12" x14ac:dyDescent="0.35">
      <c r="C47" t="s">
        <v>78</v>
      </c>
    </row>
    <row r="48" spans="3:12" x14ac:dyDescent="0.35">
      <c r="C48" t="s">
        <v>84</v>
      </c>
    </row>
    <row r="49" spans="3:3" x14ac:dyDescent="0.35">
      <c r="C49" t="s">
        <v>3</v>
      </c>
    </row>
    <row r="50" spans="3:3" x14ac:dyDescent="0.35">
      <c r="C50" t="s">
        <v>137</v>
      </c>
    </row>
    <row r="51" spans="3:3" x14ac:dyDescent="0.35">
      <c r="C51" t="s">
        <v>65</v>
      </c>
    </row>
    <row r="52" spans="3:3" x14ac:dyDescent="0.35">
      <c r="C52" t="s">
        <v>89</v>
      </c>
    </row>
    <row r="53" spans="3:3" x14ac:dyDescent="0.35">
      <c r="C53" t="s">
        <v>18</v>
      </c>
    </row>
    <row r="54" spans="3:3" x14ac:dyDescent="0.35">
      <c r="C54" t="s">
        <v>46</v>
      </c>
    </row>
    <row r="55" spans="3:3" x14ac:dyDescent="0.35">
      <c r="C55" t="s">
        <v>88</v>
      </c>
    </row>
    <row r="56" spans="3:3" x14ac:dyDescent="0.35">
      <c r="C56" t="s">
        <v>121</v>
      </c>
    </row>
    <row r="57" spans="3:3" x14ac:dyDescent="0.35">
      <c r="C57" t="s">
        <v>92</v>
      </c>
    </row>
    <row r="58" spans="3:3" x14ac:dyDescent="0.35">
      <c r="C58" t="s">
        <v>132</v>
      </c>
    </row>
    <row r="59" spans="3:3" x14ac:dyDescent="0.35">
      <c r="C59" t="s">
        <v>126</v>
      </c>
    </row>
    <row r="60" spans="3:3" x14ac:dyDescent="0.35">
      <c r="C60" t="s">
        <v>74</v>
      </c>
    </row>
    <row r="61" spans="3:3" x14ac:dyDescent="0.35">
      <c r="C61" t="s">
        <v>93</v>
      </c>
    </row>
    <row r="62" spans="3:3" x14ac:dyDescent="0.35">
      <c r="C62" t="s">
        <v>16</v>
      </c>
    </row>
    <row r="63" spans="3:3" x14ac:dyDescent="0.35">
      <c r="C63" t="s">
        <v>27</v>
      </c>
    </row>
    <row r="64" spans="3:3" x14ac:dyDescent="0.35">
      <c r="C64" t="s">
        <v>42</v>
      </c>
    </row>
    <row r="65" spans="3:3" x14ac:dyDescent="0.35">
      <c r="C65" t="s">
        <v>51</v>
      </c>
    </row>
    <row r="66" spans="3:3" x14ac:dyDescent="0.35">
      <c r="C66" t="s">
        <v>98</v>
      </c>
    </row>
    <row r="67" spans="3:3" x14ac:dyDescent="0.35">
      <c r="C67" t="s">
        <v>118</v>
      </c>
    </row>
    <row r="68" spans="3:3" x14ac:dyDescent="0.35">
      <c r="C68" t="s">
        <v>53</v>
      </c>
    </row>
    <row r="69" spans="3:3" x14ac:dyDescent="0.35">
      <c r="C69" t="s">
        <v>115</v>
      </c>
    </row>
    <row r="70" spans="3:3" x14ac:dyDescent="0.35">
      <c r="C70" t="s">
        <v>107</v>
      </c>
    </row>
    <row r="71" spans="3:3" x14ac:dyDescent="0.35">
      <c r="C71" t="s">
        <v>134</v>
      </c>
    </row>
    <row r="72" spans="3:3" x14ac:dyDescent="0.35">
      <c r="C72" t="s">
        <v>96</v>
      </c>
    </row>
    <row r="73" spans="3:3" x14ac:dyDescent="0.35">
      <c r="C73" t="s">
        <v>76</v>
      </c>
    </row>
    <row r="74" spans="3:3" x14ac:dyDescent="0.35">
      <c r="C74" t="s">
        <v>82</v>
      </c>
    </row>
    <row r="75" spans="3:3" x14ac:dyDescent="0.35">
      <c r="C75" t="s">
        <v>39</v>
      </c>
    </row>
    <row r="76" spans="3:3" x14ac:dyDescent="0.35">
      <c r="C76" t="s">
        <v>104</v>
      </c>
    </row>
    <row r="77" spans="3:3" x14ac:dyDescent="0.35">
      <c r="C77" t="s">
        <v>106</v>
      </c>
    </row>
    <row r="78" spans="3:3" x14ac:dyDescent="0.35">
      <c r="C78" t="s">
        <v>97</v>
      </c>
    </row>
    <row r="79" spans="3:3" x14ac:dyDescent="0.35">
      <c r="C79" t="s">
        <v>114</v>
      </c>
    </row>
    <row r="80" spans="3:3" x14ac:dyDescent="0.35">
      <c r="C80" t="s">
        <v>113</v>
      </c>
    </row>
    <row r="81" spans="3:3" x14ac:dyDescent="0.35">
      <c r="C81" t="s">
        <v>35</v>
      </c>
    </row>
    <row r="82" spans="3:3" x14ac:dyDescent="0.35">
      <c r="C82" t="s">
        <v>73</v>
      </c>
    </row>
    <row r="83" spans="3:3" x14ac:dyDescent="0.35">
      <c r="C83" t="s">
        <v>48</v>
      </c>
    </row>
    <row r="84" spans="3:3" x14ac:dyDescent="0.35">
      <c r="C84" t="s">
        <v>49</v>
      </c>
    </row>
    <row r="85" spans="3:3" x14ac:dyDescent="0.35">
      <c r="C85" t="s">
        <v>63</v>
      </c>
    </row>
    <row r="86" spans="3:3" x14ac:dyDescent="0.35">
      <c r="C86" t="s">
        <v>90</v>
      </c>
    </row>
    <row r="87" spans="3:3" x14ac:dyDescent="0.35">
      <c r="C87" t="s">
        <v>85</v>
      </c>
    </row>
    <row r="88" spans="3:3" x14ac:dyDescent="0.35">
      <c r="C88" t="s">
        <v>26</v>
      </c>
    </row>
    <row r="89" spans="3:3" x14ac:dyDescent="0.35">
      <c r="C89" t="s">
        <v>17</v>
      </c>
    </row>
    <row r="90" spans="3:3" x14ac:dyDescent="0.35">
      <c r="C90" t="s">
        <v>64</v>
      </c>
    </row>
    <row r="91" spans="3:3" x14ac:dyDescent="0.35">
      <c r="C91" t="s">
        <v>128</v>
      </c>
    </row>
    <row r="92" spans="3:3" x14ac:dyDescent="0.35">
      <c r="C92" t="s">
        <v>79</v>
      </c>
    </row>
    <row r="93" spans="3:3" x14ac:dyDescent="0.35">
      <c r="C93" t="s">
        <v>105</v>
      </c>
    </row>
    <row r="94" spans="3:3" x14ac:dyDescent="0.35">
      <c r="C94" t="s">
        <v>50</v>
      </c>
    </row>
    <row r="95" spans="3:3" x14ac:dyDescent="0.35">
      <c r="C95" t="s">
        <v>94</v>
      </c>
    </row>
    <row r="96" spans="3:3" x14ac:dyDescent="0.35">
      <c r="C96" t="s">
        <v>47</v>
      </c>
    </row>
    <row r="97" spans="3:3" x14ac:dyDescent="0.35">
      <c r="C97" t="s">
        <v>1</v>
      </c>
    </row>
    <row r="98" spans="3:3" x14ac:dyDescent="0.35">
      <c r="C98" t="s">
        <v>10</v>
      </c>
    </row>
    <row r="99" spans="3:3" x14ac:dyDescent="0.35">
      <c r="C99" t="s">
        <v>91</v>
      </c>
    </row>
    <row r="100" spans="3:3" x14ac:dyDescent="0.35">
      <c r="C100" t="s">
        <v>62</v>
      </c>
    </row>
    <row r="101" spans="3:3" x14ac:dyDescent="0.35">
      <c r="C101" t="s">
        <v>81</v>
      </c>
    </row>
    <row r="102" spans="3:3" x14ac:dyDescent="0.35">
      <c r="C102" t="s">
        <v>37</v>
      </c>
    </row>
    <row r="103" spans="3:3" x14ac:dyDescent="0.35">
      <c r="C103" t="s">
        <v>127</v>
      </c>
    </row>
    <row r="104" spans="3:3" x14ac:dyDescent="0.35">
      <c r="C104" t="s">
        <v>7</v>
      </c>
    </row>
    <row r="105" spans="3:3" x14ac:dyDescent="0.35">
      <c r="C105" t="s">
        <v>61</v>
      </c>
    </row>
    <row r="106" spans="3:3" x14ac:dyDescent="0.35">
      <c r="C106" t="s">
        <v>33</v>
      </c>
    </row>
    <row r="107" spans="3:3" x14ac:dyDescent="0.35">
      <c r="C107" t="s">
        <v>60</v>
      </c>
    </row>
    <row r="108" spans="3:3" x14ac:dyDescent="0.35">
      <c r="C108" t="s">
        <v>86</v>
      </c>
    </row>
    <row r="109" spans="3:3" x14ac:dyDescent="0.35">
      <c r="C109" t="s">
        <v>80</v>
      </c>
    </row>
    <row r="110" spans="3:3" x14ac:dyDescent="0.35">
      <c r="C110" t="s">
        <v>70</v>
      </c>
    </row>
    <row r="111" spans="3:3" x14ac:dyDescent="0.35">
      <c r="C111" t="s">
        <v>56</v>
      </c>
    </row>
    <row r="112" spans="3:3" x14ac:dyDescent="0.35">
      <c r="C112" t="s">
        <v>54</v>
      </c>
    </row>
    <row r="113" spans="3:3" x14ac:dyDescent="0.35">
      <c r="C113" t="s">
        <v>40</v>
      </c>
    </row>
    <row r="114" spans="3:3" x14ac:dyDescent="0.35">
      <c r="C114" t="s">
        <v>129</v>
      </c>
    </row>
    <row r="115" spans="3:3" x14ac:dyDescent="0.35">
      <c r="C115" t="s">
        <v>131</v>
      </c>
    </row>
    <row r="116" spans="3:3" x14ac:dyDescent="0.35">
      <c r="C116" t="s">
        <v>75</v>
      </c>
    </row>
    <row r="117" spans="3:3" x14ac:dyDescent="0.35">
      <c r="C117" t="s">
        <v>116</v>
      </c>
    </row>
    <row r="118" spans="3:3" x14ac:dyDescent="0.35">
      <c r="C118" t="s">
        <v>57</v>
      </c>
    </row>
    <row r="119" spans="3:3" x14ac:dyDescent="0.35">
      <c r="C119" t="s">
        <v>111</v>
      </c>
    </row>
    <row r="120" spans="3:3" x14ac:dyDescent="0.35">
      <c r="C120" t="s">
        <v>123</v>
      </c>
    </row>
    <row r="121" spans="3:3" x14ac:dyDescent="0.35">
      <c r="C121" t="s">
        <v>41</v>
      </c>
    </row>
    <row r="122" spans="3:3" x14ac:dyDescent="0.35">
      <c r="C122" t="s">
        <v>58</v>
      </c>
    </row>
    <row r="123" spans="3:3" x14ac:dyDescent="0.35">
      <c r="C123" t="s">
        <v>99</v>
      </c>
    </row>
    <row r="124" spans="3:3" x14ac:dyDescent="0.35">
      <c r="C124" t="s">
        <v>52</v>
      </c>
    </row>
    <row r="125" spans="3:3" x14ac:dyDescent="0.35">
      <c r="C125" t="s">
        <v>69</v>
      </c>
    </row>
    <row r="126" spans="3:3" x14ac:dyDescent="0.35">
      <c r="C126" t="s">
        <v>45</v>
      </c>
    </row>
    <row r="127" spans="3:3" x14ac:dyDescent="0.35">
      <c r="C127" t="s">
        <v>15</v>
      </c>
    </row>
    <row r="128" spans="3:3" x14ac:dyDescent="0.35">
      <c r="C128" t="s">
        <v>100</v>
      </c>
    </row>
    <row r="129" spans="3:3" x14ac:dyDescent="0.35">
      <c r="C129" t="s">
        <v>119</v>
      </c>
    </row>
    <row r="130" spans="3:3" x14ac:dyDescent="0.35">
      <c r="C130" t="s">
        <v>68</v>
      </c>
    </row>
    <row r="131" spans="3:3" x14ac:dyDescent="0.35">
      <c r="C131" t="s">
        <v>38</v>
      </c>
    </row>
    <row r="132" spans="3:3" x14ac:dyDescent="0.35">
      <c r="C132" t="s">
        <v>136</v>
      </c>
    </row>
    <row r="133" spans="3:3" x14ac:dyDescent="0.35">
      <c r="C133" t="s">
        <v>108</v>
      </c>
    </row>
    <row r="134" spans="3:3" x14ac:dyDescent="0.35">
      <c r="C134" t="s">
        <v>43</v>
      </c>
    </row>
    <row r="135" spans="3:3" x14ac:dyDescent="0.35">
      <c r="C135" t="s">
        <v>103</v>
      </c>
    </row>
    <row r="136" spans="3:3" x14ac:dyDescent="0.35">
      <c r="C136" t="s">
        <v>34</v>
      </c>
    </row>
    <row r="137" spans="3:3" x14ac:dyDescent="0.35">
      <c r="C137" t="s">
        <v>109</v>
      </c>
    </row>
    <row r="138" spans="3:3" x14ac:dyDescent="0.35">
      <c r="C138" t="s">
        <v>95</v>
      </c>
    </row>
    <row r="139" spans="3:3" x14ac:dyDescent="0.35">
      <c r="C139" t="s">
        <v>6</v>
      </c>
    </row>
    <row r="140" spans="3:3" x14ac:dyDescent="0.35">
      <c r="C140" t="s">
        <v>133</v>
      </c>
    </row>
    <row r="141" spans="3:3" x14ac:dyDescent="0.35">
      <c r="C141" t="s">
        <v>44</v>
      </c>
    </row>
  </sheetData>
  <autoFilter ref="C3:C142" xr:uid="{218FCDA7-41D5-4DA6-8E07-013E4B987163}">
    <sortState xmlns:xlrd2="http://schemas.microsoft.com/office/spreadsheetml/2017/richdata2" ref="C4:C142">
      <sortCondition ref="C4:C142"/>
    </sortState>
  </autoFilter>
  <pageMargins left="0.7" right="0.7" top="0.75" bottom="0.75" header="0.3" footer="0.3"/>
  <pageSetup paperSize="9" orientation="portrait" r:id="rId1"/>
  <headerFooter>
    <oddHeader>&amp;L&amp;"Aptos"&amp;10&amp;K000000 General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Attachments_EX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ARORA Tavinder (CNH)</cp:lastModifiedBy>
  <dcterms:modified xsi:type="dcterms:W3CDTF">2025-12-20T11:53:31Z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b0fb4-c8a5-4461-a7eb-fddbf6a063ea_Enabled">
    <vt:lpwstr>true</vt:lpwstr>
  </property>
  <property fmtid="{D5CDD505-2E9C-101B-9397-08002B2CF9AE}" pid="3" name="MSIP_Label_7feb0fb4-c8a5-4461-a7eb-fddbf6a063ea_SetDate">
    <vt:lpwstr>2025-12-19T08:24:48Z</vt:lpwstr>
  </property>
  <property fmtid="{D5CDD505-2E9C-101B-9397-08002B2CF9AE}" pid="4" name="MSIP_Label_7feb0fb4-c8a5-4461-a7eb-fddbf6a063ea_Method">
    <vt:lpwstr>Standard</vt:lpwstr>
  </property>
  <property fmtid="{D5CDD505-2E9C-101B-9397-08002B2CF9AE}" pid="5" name="MSIP_Label_7feb0fb4-c8a5-4461-a7eb-fddbf6a063ea_Name">
    <vt:lpwstr>General Business</vt:lpwstr>
  </property>
  <property fmtid="{D5CDD505-2E9C-101B-9397-08002B2CF9AE}" pid="6" name="MSIP_Label_7feb0fb4-c8a5-4461-a7eb-fddbf6a063ea_SiteId">
    <vt:lpwstr>79310fb0-d39b-486b-b77b-25f3e0c82a0e</vt:lpwstr>
  </property>
  <property fmtid="{D5CDD505-2E9C-101B-9397-08002B2CF9AE}" pid="7" name="MSIP_Label_7feb0fb4-c8a5-4461-a7eb-fddbf6a063ea_ActionId">
    <vt:lpwstr>43606798-a76d-43bf-bb70-5f0426a0a483</vt:lpwstr>
  </property>
  <property fmtid="{D5CDD505-2E9C-101B-9397-08002B2CF9AE}" pid="8" name="MSIP_Label_7feb0fb4-c8a5-4461-a7eb-fddbf6a063ea_ContentBits">
    <vt:lpwstr>1</vt:lpwstr>
  </property>
  <property fmtid="{D5CDD505-2E9C-101B-9397-08002B2CF9AE}" pid="9" name="MSIP_Label_7feb0fb4-c8a5-4461-a7eb-fddbf6a063ea_Tag">
    <vt:lpwstr>10, 3, 0, 1</vt:lpwstr>
  </property>
</Properties>
</file>