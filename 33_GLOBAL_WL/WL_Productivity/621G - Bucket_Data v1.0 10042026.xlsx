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nhind-my.sharepoint.com/personal/tavinder_arora_cnhind_com/Documents/Desktop/attachmentscnh/33_GLOBAL_WL/WL_Productivity/"/>
    </mc:Choice>
  </mc:AlternateContent>
  <xr:revisionPtr revIDLastSave="327" documentId="11_F25DC773A252ABDACC10482CE1D9707A5ADE58F7" xr6:coauthVersionLast="47" xr6:coauthVersionMax="47" xr10:uidLastSave="{1CB5AC14-952D-47A2-ABF6-E427DFBE1784}"/>
  <bookViews>
    <workbookView xWindow="-110" yWindow="-110" windowWidth="19420" windowHeight="11500" xr2:uid="{00000000-000D-0000-FFFF-FFFF00000000}"/>
  </bookViews>
  <sheets>
    <sheet name="6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<sst xmlns="http://schemas.openxmlformats.org/spreadsheetml/2006/main" count="279" uniqueCount="26">
  <si>
    <t>GET</t>
  </si>
  <si>
    <t>Linkage</t>
  </si>
  <si>
    <t>REHANDLING BKT</t>
  </si>
  <si>
    <t>BOCE</t>
  </si>
  <si>
    <t>ZB</t>
  </si>
  <si>
    <t>XR</t>
  </si>
  <si>
    <t>LIGHT MATERIAL</t>
  </si>
  <si>
    <t>QC</t>
  </si>
  <si>
    <t>XT</t>
  </si>
  <si>
    <t>Model</t>
  </si>
  <si>
    <t>Bucket</t>
  </si>
  <si>
    <t>Loader_Arm</t>
  </si>
  <si>
    <t>Capacity</t>
  </si>
  <si>
    <t>SNo</t>
  </si>
  <si>
    <t>Tipping_Load_Straight
(kg)</t>
  </si>
  <si>
    <t>Tipping_Load_40Turn
(kg)</t>
  </si>
  <si>
    <t>GRAPPLE BUCKET</t>
  </si>
  <si>
    <t>Max Dump Height
(mm)</t>
  </si>
  <si>
    <t>Max_Mat_Density</t>
  </si>
  <si>
    <t>Tipping_Load_Straight</t>
  </si>
  <si>
    <t>Tipping_Load_40Turn</t>
  </si>
  <si>
    <t>Max_Dump_ Height</t>
  </si>
  <si>
    <t>621F 621G 621G+</t>
  </si>
  <si>
    <t>DF</t>
  </si>
  <si>
    <t>HIGH TIP BUCKET (1CYL)</t>
  </si>
  <si>
    <t>HIGH TIP BUCKET (2 CYL)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</si>
</sst>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topLeftCell="H1" workbookViewId="0">
      <selection activeCell="H1" sqref="H1:H1048576"/>
    </sheetView>
  </sheetViews>
  <sheetFormatPr defaultColWidth="8.81640625" defaultRowHeight="14.5" x14ac:dyDescent="0.35"/>
  <cols>
    <col min="1" max="1" width="8.81640625" style="1"/>
    <col min="2" max="2" width="17.81640625" style="1" customWidth="1"/>
    <col min="3" max="3" width="24.453125" style="1" customWidth="1"/>
    <col min="4" max="4" width="10.6328125" style="1" bestFit="1" customWidth="1"/>
    <col min="5" max="5" width="8" style="1" customWidth="1"/>
    <col min="6" max="6" width="11.54296875" style="1" bestFit="1" customWidth="1"/>
    <col min="7" max="7" width="9.08984375" style="1" bestFit="1" customWidth="1"/>
    <col min="8" max="8" width="19.08984375" style="1" customWidth="1"/>
    <col min="9" max="10" width="23.54296875" style="1" customWidth="1"/>
    <col min="11" max="12" width="22.36328125" style="1" customWidth="1"/>
    <col min="13" max="13" width="19.453125" style="1" customWidth="1"/>
    <col min="14" max="14" width="21.453125" style="1" customWidth="1"/>
    <col min="15" max="16384" width="8.81640625" style="1"/>
  </cols>
  <sheetData>
    <row r="1" spans="1:14" ht="65" customHeight="1" x14ac:dyDescent="0.35">
      <c r="A1" s="2" t="s">
        <v>13</v>
      </c>
      <c r="B1" s="2" t="s">
        <v>9</v>
      </c>
      <c r="C1" s="2" t="s">
        <v>10</v>
      </c>
      <c r="D1" s="2" t="s">
        <v>12</v>
      </c>
      <c r="E1" s="2" t="s">
        <v>0</v>
      </c>
      <c r="F1" s="2" t="s">
        <v>11</v>
      </c>
      <c r="G1" s="2" t="s">
        <v>1</v>
      </c>
      <c r="H1" s="2" t="s">
        <v>18</v>
      </c>
      <c r="I1" s="2" t="s">
        <v>14</v>
      </c>
      <c r="J1" s="2" t="s">
        <v>19</v>
      </c>
      <c r="K1" s="2" t="s">
        <v>15</v>
      </c>
      <c r="L1" s="2" t="s">
        <v>20</v>
      </c>
      <c r="M1" s="2" t="s">
        <v>17</v>
      </c>
      <c r="N1" s="2" t="s">
        <v>21</v>
      </c>
    </row>
    <row r="2" spans="1:14" x14ac:dyDescent="0.35">
      <c r="A2" s="3">
        <v>31</v>
      </c>
      <c r="B2" s="4" t="s">
        <v>22</v>
      </c>
      <c r="C2" s="4" t="s">
        <v>2</v>
      </c>
      <c r="D2" s="5">
        <v>2.1</v>
      </c>
      <c r="E2" s="3" t="s">
        <v>3</v>
      </c>
      <c r="F2" s="3" t="s">
        <v>4</v>
      </c>
      <c r="G2" s="3" t="s">
        <v>7</v>
      </c>
      <c r="H2" s="6">
        <v>2.16</v>
      </c>
      <c r="I2" s="3">
        <f>ROUND(H2,2)</f>
        <v>2.16</v>
      </c>
      <c r="J2" s="7">
        <v>10.57</v>
      </c>
      <c r="K2" s="3">
        <f>+J2/1000</f>
        <v>1.057E-2</v>
      </c>
      <c r="L2" s="7">
        <v>9.0719999999999992</v>
      </c>
      <c r="M2" s="3">
        <v>9072</v>
      </c>
      <c r="N2" s="6">
        <v>2.5819999999999999</v>
      </c>
    </row>
    <row r="3" spans="1:14" x14ac:dyDescent="0.35">
      <c r="A3" s="3">
        <v>32</v>
      </c>
      <c r="B3" s="4" t="s">
        <v>22</v>
      </c>
      <c r="C3" s="4" t="s">
        <v>2</v>
      </c>
      <c r="D3" s="5">
        <v>2.2999999999999998</v>
      </c>
      <c r="E3" s="3" t="s">
        <v>3</v>
      </c>
      <c r="F3" s="3" t="s">
        <v>4</v>
      </c>
      <c r="G3" s="3" t="s">
        <v>7</v>
      </c>
      <c r="H3" s="6">
        <v>1.9690000000000001</v>
      </c>
      <c r="I3" s="3">
        <f t="shared" ref="I3:I54" si="0">ROUND(H3,2)</f>
        <v>1.97</v>
      </c>
      <c r="J3" s="7">
        <v>10.55</v>
      </c>
      <c r="K3" s="3">
        <f t="shared" ref="K3:K54" si="1">+J3/1000</f>
        <v>1.055E-2</v>
      </c>
      <c r="L3" s="7">
        <v>9.0549999999999997</v>
      </c>
      <c r="M3" s="3">
        <v>9055</v>
      </c>
      <c r="N3" s="6">
        <v>2.5819999999999999</v>
      </c>
    </row>
    <row r="4" spans="1:14" x14ac:dyDescent="0.35">
      <c r="A4" s="3">
        <v>33</v>
      </c>
      <c r="B4" s="4" t="s">
        <v>22</v>
      </c>
      <c r="C4" s="4" t="s">
        <v>2</v>
      </c>
      <c r="D4" s="5">
        <v>2.1</v>
      </c>
      <c r="E4" s="3" t="s">
        <v>3</v>
      </c>
      <c r="F4" s="3" t="s">
        <v>5</v>
      </c>
      <c r="G4" s="3" t="s">
        <v>7</v>
      </c>
      <c r="H4" s="6">
        <v>1.8089999999999999</v>
      </c>
      <c r="I4" s="3">
        <f t="shared" si="0"/>
        <v>1.81</v>
      </c>
      <c r="J4" s="7">
        <v>8.91</v>
      </c>
      <c r="K4" s="3">
        <f t="shared" si="1"/>
        <v>8.9099999999999995E-3</v>
      </c>
      <c r="L4" s="7">
        <v>7.5949999999999998</v>
      </c>
      <c r="M4" s="3">
        <v>7595</v>
      </c>
      <c r="N4" s="6">
        <v>3.0750000000000002</v>
      </c>
    </row>
    <row r="5" spans="1:14" x14ac:dyDescent="0.35">
      <c r="A5" s="3">
        <v>34</v>
      </c>
      <c r="B5" s="4" t="s">
        <v>22</v>
      </c>
      <c r="C5" s="4" t="s">
        <v>2</v>
      </c>
      <c r="D5" s="5">
        <v>2.2999999999999998</v>
      </c>
      <c r="E5" s="3" t="s">
        <v>3</v>
      </c>
      <c r="F5" s="3" t="s">
        <v>5</v>
      </c>
      <c r="G5" s="3" t="s">
        <v>7</v>
      </c>
      <c r="H5" s="6">
        <v>1.6479999999999999</v>
      </c>
      <c r="I5" s="3">
        <f t="shared" si="0"/>
        <v>1.65</v>
      </c>
      <c r="J5" s="7">
        <v>8.89</v>
      </c>
      <c r="K5" s="3">
        <f t="shared" si="1"/>
        <v>8.8900000000000003E-3</v>
      </c>
      <c r="L5" s="7">
        <v>7.5780000000000003</v>
      </c>
      <c r="M5" s="3">
        <v>7578</v>
      </c>
      <c r="N5" s="6">
        <v>3.0750000000000002</v>
      </c>
    </row>
    <row r="6" spans="1:14" x14ac:dyDescent="0.35">
      <c r="A6" s="3">
        <v>35</v>
      </c>
      <c r="B6" s="4" t="s">
        <v>22</v>
      </c>
      <c r="C6" s="4" t="s">
        <v>2</v>
      </c>
      <c r="D6" s="5">
        <v>2.1</v>
      </c>
      <c r="E6" s="3" t="s">
        <v>3</v>
      </c>
      <c r="F6" s="3" t="s">
        <v>8</v>
      </c>
      <c r="G6" s="3" t="s">
        <v>7</v>
      </c>
      <c r="H6" s="6">
        <v>1.7749999999999999</v>
      </c>
      <c r="I6" s="3">
        <f t="shared" si="0"/>
        <v>1.78</v>
      </c>
      <c r="J6" s="7">
        <v>8.6999999999999993</v>
      </c>
      <c r="K6" s="3">
        <f t="shared" si="1"/>
        <v>8.6999999999999994E-3</v>
      </c>
      <c r="L6" s="7">
        <v>7.452</v>
      </c>
      <c r="M6" s="3">
        <v>7452</v>
      </c>
      <c r="N6" s="6">
        <v>2.5619999999999998</v>
      </c>
    </row>
    <row r="7" spans="1:14" x14ac:dyDescent="0.35">
      <c r="A7" s="3">
        <v>36</v>
      </c>
      <c r="B7" s="4" t="s">
        <v>22</v>
      </c>
      <c r="C7" s="4" t="s">
        <v>2</v>
      </c>
      <c r="D7" s="5">
        <v>2.2999999999999998</v>
      </c>
      <c r="E7" s="3" t="s">
        <v>3</v>
      </c>
      <c r="F7" s="3" t="s">
        <v>8</v>
      </c>
      <c r="G7" s="3" t="s">
        <v>7</v>
      </c>
      <c r="H7" s="6">
        <v>1.6160000000000001</v>
      </c>
      <c r="I7" s="3">
        <f t="shared" si="0"/>
        <v>1.62</v>
      </c>
      <c r="J7" s="7">
        <v>8.69</v>
      </c>
      <c r="K7" s="3">
        <f t="shared" si="1"/>
        <v>8.6899999999999998E-3</v>
      </c>
      <c r="L7" s="7">
        <v>7.4349999999999996</v>
      </c>
      <c r="M7" s="3">
        <v>7435</v>
      </c>
      <c r="N7" s="6">
        <v>2.5619999999999998</v>
      </c>
    </row>
    <row r="8" spans="1:14" x14ac:dyDescent="0.35">
      <c r="A8" s="3">
        <v>37</v>
      </c>
      <c r="B8" s="4" t="s">
        <v>22</v>
      </c>
      <c r="C8" s="4" t="s">
        <v>2</v>
      </c>
      <c r="D8" s="5">
        <v>2.4</v>
      </c>
      <c r="E8" s="3" t="s">
        <v>3</v>
      </c>
      <c r="F8" s="3" t="s">
        <v>4</v>
      </c>
      <c r="G8" s="3" t="s">
        <v>23</v>
      </c>
      <c r="H8" s="6">
        <v>1.919</v>
      </c>
      <c r="I8" s="3">
        <f t="shared" si="0"/>
        <v>1.92</v>
      </c>
      <c r="J8" s="7">
        <v>10.62</v>
      </c>
      <c r="K8" s="3">
        <f t="shared" si="1"/>
        <v>1.0619999999999999E-2</v>
      </c>
      <c r="L8" s="7">
        <v>9.2119999999999997</v>
      </c>
      <c r="M8" s="3">
        <v>9212</v>
      </c>
      <c r="N8" s="6">
        <v>2.6779999999999999</v>
      </c>
    </row>
    <row r="9" spans="1:14" x14ac:dyDescent="0.35">
      <c r="A9" s="3">
        <v>38</v>
      </c>
      <c r="B9" s="4" t="s">
        <v>22</v>
      </c>
      <c r="C9" s="4" t="s">
        <v>2</v>
      </c>
      <c r="D9" s="5">
        <v>2.6</v>
      </c>
      <c r="E9" s="3" t="s">
        <v>3</v>
      </c>
      <c r="F9" s="3" t="s">
        <v>4</v>
      </c>
      <c r="G9" s="3" t="s">
        <v>23</v>
      </c>
      <c r="H9" s="6">
        <v>1.758</v>
      </c>
      <c r="I9" s="3">
        <f t="shared" si="0"/>
        <v>1.76</v>
      </c>
      <c r="J9" s="7">
        <v>10.54</v>
      </c>
      <c r="K9" s="3">
        <f t="shared" si="1"/>
        <v>1.0539999999999999E-2</v>
      </c>
      <c r="L9" s="7">
        <v>9.1379999999999999</v>
      </c>
      <c r="M9" s="3">
        <v>9138</v>
      </c>
      <c r="N9" s="6">
        <v>2.6779999999999999</v>
      </c>
    </row>
    <row r="10" spans="1:14" x14ac:dyDescent="0.35">
      <c r="A10" s="3">
        <v>39</v>
      </c>
      <c r="B10" s="4" t="s">
        <v>22</v>
      </c>
      <c r="C10" s="4" t="s">
        <v>2</v>
      </c>
      <c r="D10" s="5">
        <v>2.4</v>
      </c>
      <c r="E10" s="3" t="s">
        <v>3</v>
      </c>
      <c r="F10" s="3" t="s">
        <v>5</v>
      </c>
      <c r="G10" s="3" t="s">
        <v>23</v>
      </c>
      <c r="H10" s="6">
        <v>1.5960000000000001</v>
      </c>
      <c r="I10" s="3">
        <f t="shared" si="0"/>
        <v>1.6</v>
      </c>
      <c r="J10" s="7">
        <v>8.8800000000000008</v>
      </c>
      <c r="K10" s="3">
        <f t="shared" si="1"/>
        <v>8.8800000000000007E-3</v>
      </c>
      <c r="L10" s="7">
        <v>7.66</v>
      </c>
      <c r="M10" s="3">
        <v>7660</v>
      </c>
      <c r="N10" s="6">
        <v>3.1709999999999998</v>
      </c>
    </row>
    <row r="11" spans="1:14" x14ac:dyDescent="0.35">
      <c r="A11" s="3">
        <v>40</v>
      </c>
      <c r="B11" s="4" t="s">
        <v>22</v>
      </c>
      <c r="C11" s="4" t="s">
        <v>2</v>
      </c>
      <c r="D11" s="5">
        <v>2.6</v>
      </c>
      <c r="E11" s="3" t="s">
        <v>3</v>
      </c>
      <c r="F11" s="3" t="s">
        <v>5</v>
      </c>
      <c r="G11" s="3" t="s">
        <v>23</v>
      </c>
      <c r="H11" s="6">
        <v>1.4630000000000001</v>
      </c>
      <c r="I11" s="3">
        <f t="shared" si="0"/>
        <v>1.46</v>
      </c>
      <c r="J11" s="7">
        <v>8.82</v>
      </c>
      <c r="K11" s="3">
        <f t="shared" si="1"/>
        <v>8.8199999999999997E-3</v>
      </c>
      <c r="L11" s="7">
        <v>7.6050000000000004</v>
      </c>
      <c r="M11" s="3">
        <v>7605</v>
      </c>
      <c r="N11" s="6">
        <v>3.1709999999999998</v>
      </c>
    </row>
    <row r="12" spans="1:14" x14ac:dyDescent="0.35">
      <c r="A12" s="3">
        <v>41</v>
      </c>
      <c r="B12" s="4" t="s">
        <v>22</v>
      </c>
      <c r="C12" s="4" t="s">
        <v>6</v>
      </c>
      <c r="D12" s="5">
        <v>3.5</v>
      </c>
      <c r="E12" s="3" t="s">
        <v>3</v>
      </c>
      <c r="F12" s="3" t="s">
        <v>4</v>
      </c>
      <c r="G12" s="3" t="s">
        <v>23</v>
      </c>
      <c r="H12" s="6">
        <v>1.37</v>
      </c>
      <c r="I12" s="3">
        <f t="shared" si="0"/>
        <v>1.37</v>
      </c>
      <c r="J12" s="7">
        <v>11.06</v>
      </c>
      <c r="K12" s="3">
        <f t="shared" si="1"/>
        <v>1.106E-2</v>
      </c>
      <c r="L12" s="7">
        <v>9.5869999999999997</v>
      </c>
      <c r="M12" s="3">
        <v>9587</v>
      </c>
      <c r="N12" s="6">
        <v>2.6379999999999999</v>
      </c>
    </row>
    <row r="13" spans="1:14" x14ac:dyDescent="0.35">
      <c r="A13" s="3">
        <v>42</v>
      </c>
      <c r="B13" s="4" t="s">
        <v>22</v>
      </c>
      <c r="C13" s="4" t="s">
        <v>6</v>
      </c>
      <c r="D13" s="5">
        <v>3.5</v>
      </c>
      <c r="E13" s="3" t="s">
        <v>3</v>
      </c>
      <c r="F13" s="3" t="s">
        <v>4</v>
      </c>
      <c r="G13" s="3" t="s">
        <v>7</v>
      </c>
      <c r="H13" s="6">
        <v>1.3420000000000001</v>
      </c>
      <c r="I13" s="3">
        <f t="shared" si="0"/>
        <v>1.34</v>
      </c>
      <c r="J13" s="7">
        <v>10.87</v>
      </c>
      <c r="K13" s="3">
        <f t="shared" si="1"/>
        <v>1.0869999999999999E-2</v>
      </c>
      <c r="L13" s="7">
        <v>9.391</v>
      </c>
      <c r="M13" s="3">
        <v>9391</v>
      </c>
      <c r="N13" s="6">
        <v>2.5950000000000002</v>
      </c>
    </row>
    <row r="14" spans="1:14" x14ac:dyDescent="0.35">
      <c r="A14" s="3">
        <v>43</v>
      </c>
      <c r="B14" s="4" t="s">
        <v>22</v>
      </c>
      <c r="C14" s="4" t="s">
        <v>6</v>
      </c>
      <c r="D14" s="5">
        <v>4</v>
      </c>
      <c r="E14" s="3" t="s">
        <v>3</v>
      </c>
      <c r="F14" s="3" t="s">
        <v>4</v>
      </c>
      <c r="G14" s="3" t="s">
        <v>23</v>
      </c>
      <c r="H14" s="6">
        <v>1.1279999999999999</v>
      </c>
      <c r="I14" s="3">
        <f t="shared" si="0"/>
        <v>1.1299999999999999</v>
      </c>
      <c r="J14" s="7">
        <v>10.42</v>
      </c>
      <c r="K14" s="3">
        <f t="shared" si="1"/>
        <v>1.042E-2</v>
      </c>
      <c r="L14" s="7">
        <v>9.0229999999999997</v>
      </c>
      <c r="M14" s="3">
        <v>9023</v>
      </c>
      <c r="N14" s="6">
        <v>2.4300000000000002</v>
      </c>
    </row>
    <row r="15" spans="1:14" x14ac:dyDescent="0.35">
      <c r="A15" s="3">
        <v>44</v>
      </c>
      <c r="B15" s="4" t="s">
        <v>22</v>
      </c>
      <c r="C15" s="4" t="s">
        <v>6</v>
      </c>
      <c r="D15" s="5">
        <v>4</v>
      </c>
      <c r="E15" s="3" t="s">
        <v>3</v>
      </c>
      <c r="F15" s="3" t="s">
        <v>4</v>
      </c>
      <c r="G15" s="3" t="s">
        <v>7</v>
      </c>
      <c r="H15" s="6">
        <v>1.109</v>
      </c>
      <c r="I15" s="3">
        <f t="shared" si="0"/>
        <v>1.1100000000000001</v>
      </c>
      <c r="J15" s="7">
        <v>10.29</v>
      </c>
      <c r="K15" s="3">
        <f t="shared" si="1"/>
        <v>1.0289999999999999E-2</v>
      </c>
      <c r="L15" s="7">
        <v>8.8710000000000004</v>
      </c>
      <c r="M15" s="3">
        <v>8871</v>
      </c>
      <c r="N15" s="6">
        <v>2.4060000000000001</v>
      </c>
    </row>
    <row r="16" spans="1:14" x14ac:dyDescent="0.35">
      <c r="A16" s="3">
        <v>45</v>
      </c>
      <c r="B16" s="4" t="s">
        <v>22</v>
      </c>
      <c r="C16" s="4" t="s">
        <v>6</v>
      </c>
      <c r="D16" s="5">
        <v>4.5</v>
      </c>
      <c r="E16" s="3" t="s">
        <v>3</v>
      </c>
      <c r="F16" s="3" t="s">
        <v>4</v>
      </c>
      <c r="G16" s="3" t="s">
        <v>23</v>
      </c>
      <c r="H16" s="6">
        <v>0.997</v>
      </c>
      <c r="I16" s="3">
        <f t="shared" si="0"/>
        <v>1</v>
      </c>
      <c r="J16" s="7">
        <v>10.37</v>
      </c>
      <c r="K16" s="3">
        <f t="shared" si="1"/>
        <v>1.0369999999999999E-2</v>
      </c>
      <c r="L16" s="7">
        <v>8.9740000000000002</v>
      </c>
      <c r="M16" s="3">
        <v>8974</v>
      </c>
      <c r="N16" s="6">
        <v>2.4300000000000002</v>
      </c>
    </row>
    <row r="17" spans="1:14" x14ac:dyDescent="0.35">
      <c r="A17" s="3">
        <v>46</v>
      </c>
      <c r="B17" s="4" t="s">
        <v>22</v>
      </c>
      <c r="C17" s="4" t="s">
        <v>6</v>
      </c>
      <c r="D17" s="5">
        <v>4.5</v>
      </c>
      <c r="E17" s="3" t="s">
        <v>3</v>
      </c>
      <c r="F17" s="3" t="s">
        <v>4</v>
      </c>
      <c r="G17" s="3" t="s">
        <v>7</v>
      </c>
      <c r="H17" s="6">
        <v>0.98</v>
      </c>
      <c r="I17" s="3">
        <f t="shared" si="0"/>
        <v>0.98</v>
      </c>
      <c r="J17" s="7">
        <v>10.24</v>
      </c>
      <c r="K17" s="3">
        <f t="shared" si="1"/>
        <v>1.0240000000000001E-2</v>
      </c>
      <c r="L17" s="7">
        <v>8.8219999999999992</v>
      </c>
      <c r="M17" s="3">
        <v>8822</v>
      </c>
      <c r="N17" s="6">
        <v>2.4060000000000001</v>
      </c>
    </row>
    <row r="18" spans="1:14" x14ac:dyDescent="0.35">
      <c r="A18" s="3">
        <v>47</v>
      </c>
      <c r="B18" s="4" t="s">
        <v>22</v>
      </c>
      <c r="C18" s="4" t="s">
        <v>6</v>
      </c>
      <c r="D18" s="5">
        <v>5</v>
      </c>
      <c r="E18" s="3" t="s">
        <v>3</v>
      </c>
      <c r="F18" s="3" t="s">
        <v>4</v>
      </c>
      <c r="G18" s="3" t="s">
        <v>23</v>
      </c>
      <c r="H18" s="6">
        <v>0.86499999999999999</v>
      </c>
      <c r="I18" s="3">
        <f t="shared" si="0"/>
        <v>0.87</v>
      </c>
      <c r="J18" s="7">
        <v>10.02</v>
      </c>
      <c r="K18" s="3">
        <f t="shared" si="1"/>
        <v>1.0019999999999999E-2</v>
      </c>
      <c r="L18" s="7">
        <v>8.6509999999999998</v>
      </c>
      <c r="M18" s="3">
        <v>8651</v>
      </c>
      <c r="N18" s="6">
        <v>2.4510000000000001</v>
      </c>
    </row>
    <row r="19" spans="1:14" x14ac:dyDescent="0.35">
      <c r="A19" s="3">
        <v>48</v>
      </c>
      <c r="B19" s="4" t="s">
        <v>22</v>
      </c>
      <c r="C19" s="4" t="s">
        <v>6</v>
      </c>
      <c r="D19" s="5">
        <v>5</v>
      </c>
      <c r="E19" s="3" t="s">
        <v>3</v>
      </c>
      <c r="F19" s="3" t="s">
        <v>4</v>
      </c>
      <c r="G19" s="3" t="s">
        <v>7</v>
      </c>
      <c r="H19" s="6">
        <v>0.81200000000000006</v>
      </c>
      <c r="I19" s="3">
        <f t="shared" si="0"/>
        <v>0.81</v>
      </c>
      <c r="J19" s="7">
        <v>9.4499999999999993</v>
      </c>
      <c r="K19" s="3">
        <f t="shared" si="1"/>
        <v>9.4500000000000001E-3</v>
      </c>
      <c r="L19" s="7">
        <v>8.1189999999999998</v>
      </c>
      <c r="M19" s="3">
        <v>8119</v>
      </c>
      <c r="N19" s="6">
        <v>2.3490000000000002</v>
      </c>
    </row>
    <row r="20" spans="1:14" x14ac:dyDescent="0.35">
      <c r="A20" s="3">
        <v>49</v>
      </c>
      <c r="B20" s="4" t="s">
        <v>22</v>
      </c>
      <c r="C20" s="4" t="s">
        <v>6</v>
      </c>
      <c r="D20" s="5">
        <v>3.5</v>
      </c>
      <c r="E20" s="3" t="s">
        <v>3</v>
      </c>
      <c r="F20" s="3" t="s">
        <v>5</v>
      </c>
      <c r="G20" s="3" t="s">
        <v>23</v>
      </c>
      <c r="H20" s="6">
        <v>1.131</v>
      </c>
      <c r="I20" s="3">
        <f t="shared" si="0"/>
        <v>1.1299999999999999</v>
      </c>
      <c r="J20" s="7">
        <v>9.19</v>
      </c>
      <c r="K20" s="3">
        <f t="shared" si="1"/>
        <v>9.1900000000000003E-3</v>
      </c>
      <c r="L20" s="7">
        <v>7.915</v>
      </c>
      <c r="M20" s="3">
        <v>7915</v>
      </c>
      <c r="N20" s="6">
        <v>3.145</v>
      </c>
    </row>
    <row r="21" spans="1:14" x14ac:dyDescent="0.35">
      <c r="A21" s="3">
        <v>50</v>
      </c>
      <c r="B21" s="4" t="s">
        <v>22</v>
      </c>
      <c r="C21" s="4" t="s">
        <v>6</v>
      </c>
      <c r="D21" s="5">
        <v>3.5</v>
      </c>
      <c r="E21" s="3" t="s">
        <v>3</v>
      </c>
      <c r="F21" s="3" t="s">
        <v>5</v>
      </c>
      <c r="G21" s="3" t="s">
        <v>7</v>
      </c>
      <c r="H21" s="6">
        <v>1.101</v>
      </c>
      <c r="I21" s="3">
        <f t="shared" si="0"/>
        <v>1.1000000000000001</v>
      </c>
      <c r="J21" s="7">
        <v>8.98</v>
      </c>
      <c r="K21" s="3">
        <f t="shared" si="1"/>
        <v>8.9800000000000001E-3</v>
      </c>
      <c r="L21" s="7">
        <v>7.7030000000000003</v>
      </c>
      <c r="M21" s="3">
        <v>7703</v>
      </c>
      <c r="N21" s="6">
        <v>3.13</v>
      </c>
    </row>
    <row r="22" spans="1:14" x14ac:dyDescent="0.35">
      <c r="A22" s="3">
        <v>51</v>
      </c>
      <c r="B22" s="4" t="s">
        <v>22</v>
      </c>
      <c r="C22" s="4" t="s">
        <v>6</v>
      </c>
      <c r="D22" s="5">
        <v>4</v>
      </c>
      <c r="E22" s="3" t="s">
        <v>3</v>
      </c>
      <c r="F22" s="3" t="s">
        <v>5</v>
      </c>
      <c r="G22" s="3" t="s">
        <v>23</v>
      </c>
      <c r="H22" s="6">
        <v>0.93700000000000006</v>
      </c>
      <c r="I22" s="3">
        <f t="shared" si="0"/>
        <v>0.94</v>
      </c>
      <c r="J22" s="7">
        <v>8.7100000000000009</v>
      </c>
      <c r="K22" s="3">
        <f t="shared" si="1"/>
        <v>8.7100000000000007E-3</v>
      </c>
      <c r="L22" s="7">
        <v>7.4939999999999998</v>
      </c>
      <c r="M22" s="3">
        <v>7494</v>
      </c>
      <c r="N22" s="6">
        <v>2.9580000000000002</v>
      </c>
    </row>
    <row r="23" spans="1:14" x14ac:dyDescent="0.35">
      <c r="A23" s="3">
        <v>52</v>
      </c>
      <c r="B23" s="4" t="s">
        <v>22</v>
      </c>
      <c r="C23" s="4" t="s">
        <v>6</v>
      </c>
      <c r="D23" s="5">
        <v>4</v>
      </c>
      <c r="E23" s="3" t="s">
        <v>3</v>
      </c>
      <c r="F23" s="3" t="s">
        <v>5</v>
      </c>
      <c r="G23" s="3" t="s">
        <v>7</v>
      </c>
      <c r="H23" s="6">
        <v>0.91500000000000004</v>
      </c>
      <c r="I23" s="3">
        <f t="shared" si="0"/>
        <v>0.92</v>
      </c>
      <c r="J23" s="7">
        <v>8.5500000000000007</v>
      </c>
      <c r="K23" s="3">
        <f t="shared" si="1"/>
        <v>8.5500000000000003E-3</v>
      </c>
      <c r="L23" s="7">
        <v>7.3159999999999998</v>
      </c>
      <c r="M23" s="3">
        <v>7316</v>
      </c>
      <c r="N23" s="6">
        <v>2.9630000000000001</v>
      </c>
    </row>
    <row r="24" spans="1:14" x14ac:dyDescent="0.35">
      <c r="A24" s="3">
        <v>53</v>
      </c>
      <c r="B24" s="4" t="s">
        <v>22</v>
      </c>
      <c r="C24" s="4" t="s">
        <v>6</v>
      </c>
      <c r="D24" s="5">
        <v>4.5</v>
      </c>
      <c r="E24" s="3" t="s">
        <v>3</v>
      </c>
      <c r="F24" s="3" t="s">
        <v>5</v>
      </c>
      <c r="G24" s="3" t="s">
        <v>23</v>
      </c>
      <c r="H24" s="6">
        <v>0.82699999999999996</v>
      </c>
      <c r="I24" s="3">
        <f t="shared" si="0"/>
        <v>0.83</v>
      </c>
      <c r="J24" s="7">
        <v>8.66</v>
      </c>
      <c r="K24" s="3">
        <f t="shared" si="1"/>
        <v>8.6599999999999993E-3</v>
      </c>
      <c r="L24" s="7">
        <v>7.4450000000000003</v>
      </c>
      <c r="M24" s="3">
        <v>7445</v>
      </c>
      <c r="N24" s="6">
        <v>2.9569999999999999</v>
      </c>
    </row>
    <row r="25" spans="1:14" x14ac:dyDescent="0.35">
      <c r="A25" s="3">
        <v>54</v>
      </c>
      <c r="B25" s="4" t="s">
        <v>22</v>
      </c>
      <c r="C25" s="4" t="s">
        <v>6</v>
      </c>
      <c r="D25" s="5">
        <v>4.5</v>
      </c>
      <c r="E25" s="3" t="s">
        <v>3</v>
      </c>
      <c r="F25" s="3" t="s">
        <v>5</v>
      </c>
      <c r="G25" s="3" t="s">
        <v>7</v>
      </c>
      <c r="H25" s="6">
        <v>0.80800000000000005</v>
      </c>
      <c r="I25" s="3">
        <f t="shared" si="0"/>
        <v>0.81</v>
      </c>
      <c r="J25" s="7">
        <v>8.5</v>
      </c>
      <c r="K25" s="3">
        <f t="shared" si="1"/>
        <v>8.5000000000000006E-3</v>
      </c>
      <c r="L25" s="7">
        <v>7.2670000000000003</v>
      </c>
      <c r="M25" s="3">
        <v>7267</v>
      </c>
      <c r="N25" s="6">
        <v>2.9630000000000001</v>
      </c>
    </row>
    <row r="26" spans="1:14" x14ac:dyDescent="0.35">
      <c r="A26" s="3">
        <v>55</v>
      </c>
      <c r="B26" s="4" t="s">
        <v>22</v>
      </c>
      <c r="C26" s="4" t="s">
        <v>6</v>
      </c>
      <c r="D26" s="5">
        <v>5</v>
      </c>
      <c r="E26" s="3" t="s">
        <v>3</v>
      </c>
      <c r="F26" s="3" t="s">
        <v>5</v>
      </c>
      <c r="G26" s="3" t="s">
        <v>23</v>
      </c>
      <c r="H26" s="6">
        <v>0.71699999999999997</v>
      </c>
      <c r="I26" s="3">
        <f t="shared" si="0"/>
        <v>0.72</v>
      </c>
      <c r="J26" s="7">
        <v>8.3699999999999992</v>
      </c>
      <c r="K26" s="3">
        <f t="shared" si="1"/>
        <v>8.369999999999999E-3</v>
      </c>
      <c r="L26" s="7">
        <v>7.173</v>
      </c>
      <c r="M26" s="3">
        <v>7173</v>
      </c>
      <c r="N26" s="6">
        <v>2.9649999999999999</v>
      </c>
    </row>
    <row r="27" spans="1:14" x14ac:dyDescent="0.35">
      <c r="A27" s="3">
        <v>56</v>
      </c>
      <c r="B27" s="4" t="s">
        <v>22</v>
      </c>
      <c r="C27" s="4" t="s">
        <v>6</v>
      </c>
      <c r="D27" s="5">
        <v>5</v>
      </c>
      <c r="E27" s="3" t="s">
        <v>3</v>
      </c>
      <c r="F27" s="3" t="s">
        <v>5</v>
      </c>
      <c r="G27" s="3" t="s">
        <v>7</v>
      </c>
      <c r="H27" s="6">
        <v>0.67300000000000004</v>
      </c>
      <c r="I27" s="3">
        <f t="shared" si="0"/>
        <v>0.67</v>
      </c>
      <c r="J27" s="7">
        <v>7.89</v>
      </c>
      <c r="K27" s="3">
        <f t="shared" si="1"/>
        <v>7.8899999999999994E-3</v>
      </c>
      <c r="L27" s="7">
        <v>6.7249999999999996</v>
      </c>
      <c r="M27" s="3">
        <v>6725</v>
      </c>
      <c r="N27" s="6">
        <v>2.88</v>
      </c>
    </row>
    <row r="28" spans="1:14" x14ac:dyDescent="0.35">
      <c r="A28" s="3">
        <v>57</v>
      </c>
      <c r="B28" s="4" t="s">
        <v>22</v>
      </c>
      <c r="C28" s="4" t="s">
        <v>6</v>
      </c>
      <c r="D28" s="5">
        <v>3.5</v>
      </c>
      <c r="E28" s="3" t="s">
        <v>3</v>
      </c>
      <c r="F28" s="3" t="s">
        <v>8</v>
      </c>
      <c r="G28" s="3" t="s">
        <v>7</v>
      </c>
      <c r="H28" s="6">
        <v>1.179</v>
      </c>
      <c r="I28" s="3">
        <f t="shared" si="0"/>
        <v>1.18</v>
      </c>
      <c r="J28" s="7">
        <v>9.57</v>
      </c>
      <c r="K28" s="3">
        <f t="shared" si="1"/>
        <v>9.5700000000000004E-3</v>
      </c>
      <c r="L28" s="7">
        <v>8.2539999999999996</v>
      </c>
      <c r="M28" s="3">
        <v>8254</v>
      </c>
      <c r="N28" s="6">
        <v>2.57</v>
      </c>
    </row>
    <row r="29" spans="1:14" x14ac:dyDescent="0.35">
      <c r="A29" s="3">
        <v>58</v>
      </c>
      <c r="B29" s="4" t="s">
        <v>22</v>
      </c>
      <c r="C29" s="4" t="s">
        <v>6</v>
      </c>
      <c r="D29" s="5">
        <v>4</v>
      </c>
      <c r="E29" s="3" t="s">
        <v>3</v>
      </c>
      <c r="F29" s="3" t="s">
        <v>8</v>
      </c>
      <c r="G29" s="3" t="s">
        <v>7</v>
      </c>
      <c r="H29" s="6">
        <v>0.97</v>
      </c>
      <c r="I29" s="3">
        <f t="shared" si="0"/>
        <v>0.97</v>
      </c>
      <c r="J29" s="7">
        <v>9.02</v>
      </c>
      <c r="K29" s="3">
        <f t="shared" si="1"/>
        <v>9.0200000000000002E-3</v>
      </c>
      <c r="L29" s="7">
        <v>7.7590000000000003</v>
      </c>
      <c r="M29" s="3">
        <v>7759</v>
      </c>
      <c r="N29" s="6">
        <v>2.363</v>
      </c>
    </row>
    <row r="30" spans="1:14" x14ac:dyDescent="0.35">
      <c r="A30" s="3">
        <v>59</v>
      </c>
      <c r="B30" s="4" t="s">
        <v>22</v>
      </c>
      <c r="C30" s="4" t="s">
        <v>6</v>
      </c>
      <c r="D30" s="5">
        <v>4.5</v>
      </c>
      <c r="E30" s="3" t="s">
        <v>3</v>
      </c>
      <c r="F30" s="3" t="s">
        <v>8</v>
      </c>
      <c r="G30" s="3" t="s">
        <v>7</v>
      </c>
      <c r="H30" s="6">
        <v>0.85699999999999998</v>
      </c>
      <c r="I30" s="3">
        <f t="shared" si="0"/>
        <v>0.86</v>
      </c>
      <c r="J30" s="7">
        <v>8.9700000000000006</v>
      </c>
      <c r="K30" s="3">
        <f t="shared" si="1"/>
        <v>8.9700000000000005E-3</v>
      </c>
      <c r="L30" s="7">
        <v>7.71</v>
      </c>
      <c r="M30" s="3">
        <v>7710</v>
      </c>
      <c r="N30" s="6">
        <v>2.363</v>
      </c>
    </row>
    <row r="31" spans="1:14" x14ac:dyDescent="0.35">
      <c r="A31" s="3">
        <v>60</v>
      </c>
      <c r="B31" s="4" t="s">
        <v>22</v>
      </c>
      <c r="C31" s="4" t="s">
        <v>6</v>
      </c>
      <c r="D31" s="5">
        <v>5</v>
      </c>
      <c r="E31" s="3" t="s">
        <v>3</v>
      </c>
      <c r="F31" s="3" t="s">
        <v>8</v>
      </c>
      <c r="G31" s="3" t="s">
        <v>7</v>
      </c>
      <c r="H31" s="6">
        <v>0.69899999999999995</v>
      </c>
      <c r="I31" s="3">
        <f t="shared" si="0"/>
        <v>0.7</v>
      </c>
      <c r="J31" s="7">
        <v>8.16</v>
      </c>
      <c r="K31" s="3">
        <f t="shared" si="1"/>
        <v>8.1600000000000006E-3</v>
      </c>
      <c r="L31" s="7">
        <v>6.9909999999999997</v>
      </c>
      <c r="M31" s="3">
        <v>6991</v>
      </c>
      <c r="N31" s="6">
        <v>2.3559999999999999</v>
      </c>
    </row>
    <row r="32" spans="1:14" x14ac:dyDescent="0.35">
      <c r="A32" s="3">
        <v>61</v>
      </c>
      <c r="B32" s="4" t="s">
        <v>22</v>
      </c>
      <c r="C32" s="4" t="s">
        <v>16</v>
      </c>
      <c r="D32" s="5">
        <v>3.5</v>
      </c>
      <c r="E32" s="3" t="s">
        <v>3</v>
      </c>
      <c r="F32" s="3" t="s">
        <v>4</v>
      </c>
      <c r="G32" s="3" t="s">
        <v>23</v>
      </c>
      <c r="H32" s="6">
        <v>1.143</v>
      </c>
      <c r="I32" s="3">
        <f t="shared" si="0"/>
        <v>1.1399999999999999</v>
      </c>
      <c r="J32" s="7">
        <v>9.34</v>
      </c>
      <c r="K32" s="3">
        <f t="shared" si="1"/>
        <v>9.3399999999999993E-3</v>
      </c>
      <c r="L32" s="7">
        <v>8.0030000000000001</v>
      </c>
      <c r="M32" s="3">
        <v>8003</v>
      </c>
      <c r="N32" s="6">
        <v>2.331</v>
      </c>
    </row>
    <row r="33" spans="1:14" x14ac:dyDescent="0.35">
      <c r="A33" s="3">
        <v>62</v>
      </c>
      <c r="B33" s="4" t="s">
        <v>22</v>
      </c>
      <c r="C33" s="4" t="s">
        <v>16</v>
      </c>
      <c r="D33" s="5">
        <v>3.5</v>
      </c>
      <c r="E33" s="3" t="s">
        <v>3</v>
      </c>
      <c r="F33" s="3" t="s">
        <v>4</v>
      </c>
      <c r="G33" s="3" t="s">
        <v>7</v>
      </c>
      <c r="H33" s="6">
        <v>1.0940000000000001</v>
      </c>
      <c r="I33" s="3">
        <f t="shared" si="0"/>
        <v>1.0900000000000001</v>
      </c>
      <c r="J33" s="7">
        <v>8.9600000000000009</v>
      </c>
      <c r="K33" s="3">
        <f t="shared" si="1"/>
        <v>8.9600000000000009E-3</v>
      </c>
      <c r="L33" s="7">
        <v>7.6550000000000002</v>
      </c>
      <c r="M33" s="3">
        <v>7655</v>
      </c>
      <c r="N33" s="6">
        <v>2.4249999999999998</v>
      </c>
    </row>
    <row r="34" spans="1:14" x14ac:dyDescent="0.35">
      <c r="A34" s="3">
        <v>63</v>
      </c>
      <c r="B34" s="4" t="s">
        <v>22</v>
      </c>
      <c r="C34" s="4" t="s">
        <v>16</v>
      </c>
      <c r="D34" s="5">
        <v>3.5</v>
      </c>
      <c r="E34" s="3" t="s">
        <v>3</v>
      </c>
      <c r="F34" s="3" t="s">
        <v>5</v>
      </c>
      <c r="G34" s="3" t="s">
        <v>23</v>
      </c>
      <c r="H34" s="6">
        <v>0.94099999999999995</v>
      </c>
      <c r="I34" s="3">
        <f t="shared" si="0"/>
        <v>0.94</v>
      </c>
      <c r="J34" s="7">
        <v>7.76</v>
      </c>
      <c r="K34" s="3">
        <f t="shared" si="1"/>
        <v>7.7599999999999995E-3</v>
      </c>
      <c r="L34" s="7">
        <v>6.5880000000000001</v>
      </c>
      <c r="M34" s="3">
        <v>6588</v>
      </c>
      <c r="N34" s="6">
        <v>2.843</v>
      </c>
    </row>
    <row r="35" spans="1:14" x14ac:dyDescent="0.35">
      <c r="A35" s="3">
        <v>64</v>
      </c>
      <c r="B35" s="4" t="s">
        <v>22</v>
      </c>
      <c r="C35" s="4" t="s">
        <v>16</v>
      </c>
      <c r="D35" s="5">
        <v>3.5</v>
      </c>
      <c r="E35" s="3" t="s">
        <v>3</v>
      </c>
      <c r="F35" s="3" t="s">
        <v>5</v>
      </c>
      <c r="G35" s="3" t="s">
        <v>7</v>
      </c>
      <c r="H35" s="6">
        <v>0.89900000000000002</v>
      </c>
      <c r="I35" s="3">
        <f t="shared" si="0"/>
        <v>0.9</v>
      </c>
      <c r="J35" s="7">
        <v>7.44</v>
      </c>
      <c r="K35" s="3">
        <f t="shared" si="1"/>
        <v>7.4400000000000004E-3</v>
      </c>
      <c r="L35" s="7">
        <v>6.29</v>
      </c>
      <c r="M35" s="3">
        <v>6290</v>
      </c>
      <c r="N35" s="6">
        <v>2.95</v>
      </c>
    </row>
    <row r="36" spans="1:14" x14ac:dyDescent="0.35">
      <c r="A36" s="3">
        <v>65</v>
      </c>
      <c r="B36" s="4" t="s">
        <v>22</v>
      </c>
      <c r="C36" s="4" t="s">
        <v>16</v>
      </c>
      <c r="D36" s="5">
        <v>3.5</v>
      </c>
      <c r="E36" s="3" t="s">
        <v>3</v>
      </c>
      <c r="F36" s="3" t="s">
        <v>8</v>
      </c>
      <c r="G36" s="3" t="s">
        <v>23</v>
      </c>
      <c r="H36" s="6">
        <v>1.0569999999999999</v>
      </c>
      <c r="I36" s="3">
        <f t="shared" si="0"/>
        <v>1.06</v>
      </c>
      <c r="J36" s="7">
        <v>8.64</v>
      </c>
      <c r="K36" s="3">
        <f t="shared" si="1"/>
        <v>8.6400000000000001E-3</v>
      </c>
      <c r="L36" s="7">
        <v>7.3949999999999996</v>
      </c>
      <c r="M36" s="3">
        <v>7395</v>
      </c>
      <c r="N36" s="6">
        <v>2.3879999999999999</v>
      </c>
    </row>
    <row r="37" spans="1:14" x14ac:dyDescent="0.35">
      <c r="A37" s="3">
        <v>66</v>
      </c>
      <c r="B37" s="4" t="s">
        <v>22</v>
      </c>
      <c r="C37" s="4" t="s">
        <v>24</v>
      </c>
      <c r="D37" s="5">
        <v>3</v>
      </c>
      <c r="E37" s="3" t="s">
        <v>3</v>
      </c>
      <c r="F37" s="3" t="s">
        <v>4</v>
      </c>
      <c r="G37" s="3" t="s">
        <v>23</v>
      </c>
      <c r="H37" s="6">
        <v>1.39</v>
      </c>
      <c r="I37" s="3">
        <f t="shared" si="0"/>
        <v>1.39</v>
      </c>
      <c r="J37" s="7">
        <v>9.69</v>
      </c>
      <c r="K37" s="3">
        <f t="shared" si="1"/>
        <v>9.689999999999999E-3</v>
      </c>
      <c r="L37" s="7">
        <v>8.3360000000000003</v>
      </c>
      <c r="M37" s="3">
        <v>8336</v>
      </c>
      <c r="N37" s="6">
        <v>4.2590000000000003</v>
      </c>
    </row>
    <row r="38" spans="1:14" x14ac:dyDescent="0.35">
      <c r="A38" s="3">
        <v>67</v>
      </c>
      <c r="B38" s="4" t="s">
        <v>22</v>
      </c>
      <c r="C38" s="4" t="s">
        <v>24</v>
      </c>
      <c r="D38" s="5">
        <v>3</v>
      </c>
      <c r="E38" s="3" t="s">
        <v>3</v>
      </c>
      <c r="F38" s="3" t="s">
        <v>4</v>
      </c>
      <c r="G38" s="3" t="s">
        <v>7</v>
      </c>
      <c r="H38" s="6">
        <v>1.325</v>
      </c>
      <c r="I38" s="3">
        <f t="shared" si="0"/>
        <v>1.33</v>
      </c>
      <c r="J38" s="7">
        <v>9.27</v>
      </c>
      <c r="K38" s="3">
        <f t="shared" si="1"/>
        <v>9.2699999999999987E-3</v>
      </c>
      <c r="L38" s="7">
        <v>7.9480000000000004</v>
      </c>
      <c r="M38" s="3">
        <v>7948</v>
      </c>
      <c r="N38" s="6">
        <v>4.4889999999999999</v>
      </c>
    </row>
    <row r="39" spans="1:14" x14ac:dyDescent="0.35">
      <c r="A39" s="3">
        <v>68</v>
      </c>
      <c r="B39" s="4" t="s">
        <v>22</v>
      </c>
      <c r="C39" s="4" t="s">
        <v>24</v>
      </c>
      <c r="D39" s="5">
        <v>3.5</v>
      </c>
      <c r="E39" s="3" t="s">
        <v>3</v>
      </c>
      <c r="F39" s="3" t="s">
        <v>4</v>
      </c>
      <c r="G39" s="3" t="s">
        <v>23</v>
      </c>
      <c r="H39" s="6">
        <v>1.1679999999999999</v>
      </c>
      <c r="I39" s="3">
        <f t="shared" si="0"/>
        <v>1.17</v>
      </c>
      <c r="J39" s="7">
        <v>9.52</v>
      </c>
      <c r="K39" s="3">
        <f t="shared" si="1"/>
        <v>9.5199999999999989E-3</v>
      </c>
      <c r="L39" s="7">
        <v>8.1780000000000008</v>
      </c>
      <c r="M39" s="3">
        <v>8178</v>
      </c>
      <c r="N39" s="6">
        <v>4.258</v>
      </c>
    </row>
    <row r="40" spans="1:14" x14ac:dyDescent="0.35">
      <c r="A40" s="3">
        <v>69</v>
      </c>
      <c r="B40" s="4" t="s">
        <v>22</v>
      </c>
      <c r="C40" s="4" t="s">
        <v>24</v>
      </c>
      <c r="D40" s="5">
        <v>3.5</v>
      </c>
      <c r="E40" s="3" t="s">
        <v>3</v>
      </c>
      <c r="F40" s="3" t="s">
        <v>4</v>
      </c>
      <c r="G40" s="3" t="s">
        <v>7</v>
      </c>
      <c r="H40" s="6">
        <v>1.1220000000000001</v>
      </c>
      <c r="I40" s="3">
        <f t="shared" si="0"/>
        <v>1.1200000000000001</v>
      </c>
      <c r="J40" s="7">
        <v>9.18</v>
      </c>
      <c r="K40" s="3">
        <f t="shared" si="1"/>
        <v>9.1799999999999989E-3</v>
      </c>
      <c r="L40" s="7">
        <v>7.851</v>
      </c>
      <c r="M40" s="3">
        <v>7851</v>
      </c>
      <c r="N40" s="6">
        <v>4.4870000000000001</v>
      </c>
    </row>
    <row r="41" spans="1:14" ht="27" x14ac:dyDescent="0.35">
      <c r="A41" s="3">
        <v>70</v>
      </c>
      <c r="B41" s="4" t="s">
        <v>22</v>
      </c>
      <c r="C41" s="4" t="s">
        <v>25</v>
      </c>
      <c r="D41" s="5">
        <v>3.5</v>
      </c>
      <c r="E41" s="3" t="s">
        <v>3</v>
      </c>
      <c r="F41" s="3" t="s">
        <v>4</v>
      </c>
      <c r="G41" s="3" t="s">
        <v>23</v>
      </c>
      <c r="H41" s="6">
        <v>1.1319999999999999</v>
      </c>
      <c r="I41" s="3">
        <f t="shared" si="0"/>
        <v>1.1299999999999999</v>
      </c>
      <c r="J41" s="7">
        <v>9.27</v>
      </c>
      <c r="K41" s="3">
        <f t="shared" si="1"/>
        <v>9.2699999999999987E-3</v>
      </c>
      <c r="L41" s="7">
        <v>7.9240000000000004</v>
      </c>
      <c r="M41" s="3">
        <v>7924</v>
      </c>
      <c r="N41" s="6">
        <v>4.7389999999999999</v>
      </c>
    </row>
    <row r="42" spans="1:14" x14ac:dyDescent="0.35">
      <c r="A42" s="3">
        <v>71</v>
      </c>
      <c r="B42" s="4" t="s">
        <v>22</v>
      </c>
      <c r="C42" s="4" t="s">
        <v>24</v>
      </c>
      <c r="D42" s="5">
        <v>4</v>
      </c>
      <c r="E42" s="3" t="s">
        <v>3</v>
      </c>
      <c r="F42" s="3" t="s">
        <v>4</v>
      </c>
      <c r="G42" s="3" t="s">
        <v>23</v>
      </c>
      <c r="H42" s="6">
        <v>1.004</v>
      </c>
      <c r="I42" s="3">
        <f t="shared" si="0"/>
        <v>1</v>
      </c>
      <c r="J42" s="7">
        <v>9.3800000000000008</v>
      </c>
      <c r="K42" s="3">
        <f t="shared" si="1"/>
        <v>9.3800000000000012E-3</v>
      </c>
      <c r="L42" s="7">
        <v>8.032</v>
      </c>
      <c r="M42" s="3">
        <v>8032</v>
      </c>
      <c r="N42" s="6">
        <v>4.2919999999999998</v>
      </c>
    </row>
    <row r="43" spans="1:14" x14ac:dyDescent="0.35">
      <c r="A43" s="3">
        <v>72</v>
      </c>
      <c r="B43" s="4" t="s">
        <v>22</v>
      </c>
      <c r="C43" s="4" t="s">
        <v>24</v>
      </c>
      <c r="D43" s="5">
        <v>3</v>
      </c>
      <c r="E43" s="3" t="s">
        <v>3</v>
      </c>
      <c r="F43" s="3" t="s">
        <v>5</v>
      </c>
      <c r="G43" s="3" t="s">
        <v>23</v>
      </c>
      <c r="H43" s="6">
        <v>1.1499999999999999</v>
      </c>
      <c r="I43" s="3">
        <f t="shared" si="0"/>
        <v>1.1499999999999999</v>
      </c>
      <c r="J43" s="7">
        <v>8.08</v>
      </c>
      <c r="K43" s="3">
        <f t="shared" si="1"/>
        <v>8.0800000000000004E-3</v>
      </c>
      <c r="L43" s="7">
        <v>6.8970000000000002</v>
      </c>
      <c r="M43" s="3">
        <v>6897</v>
      </c>
      <c r="N43" s="6">
        <v>4.7679999999999998</v>
      </c>
    </row>
    <row r="44" spans="1:14" x14ac:dyDescent="0.35">
      <c r="A44" s="3">
        <v>73</v>
      </c>
      <c r="B44" s="4" t="s">
        <v>22</v>
      </c>
      <c r="C44" s="4" t="s">
        <v>24</v>
      </c>
      <c r="D44" s="5">
        <v>3</v>
      </c>
      <c r="E44" s="3" t="s">
        <v>3</v>
      </c>
      <c r="F44" s="3" t="s">
        <v>5</v>
      </c>
      <c r="G44" s="3" t="s">
        <v>7</v>
      </c>
      <c r="H44" s="6">
        <v>1.0940000000000001</v>
      </c>
      <c r="I44" s="3">
        <f t="shared" si="0"/>
        <v>1.0900000000000001</v>
      </c>
      <c r="J44" s="7">
        <v>7.73</v>
      </c>
      <c r="K44" s="3">
        <f t="shared" si="1"/>
        <v>7.7300000000000008E-3</v>
      </c>
      <c r="L44" s="7">
        <v>6.5629999999999997</v>
      </c>
      <c r="M44" s="3">
        <v>6563</v>
      </c>
      <c r="N44" s="6">
        <v>5.01</v>
      </c>
    </row>
    <row r="45" spans="1:14" x14ac:dyDescent="0.35">
      <c r="A45" s="3">
        <v>74</v>
      </c>
      <c r="B45" s="4" t="s">
        <v>22</v>
      </c>
      <c r="C45" s="4" t="s">
        <v>24</v>
      </c>
      <c r="D45" s="5">
        <v>3.5</v>
      </c>
      <c r="E45" s="3" t="s">
        <v>3</v>
      </c>
      <c r="F45" s="3" t="s">
        <v>5</v>
      </c>
      <c r="G45" s="3" t="s">
        <v>23</v>
      </c>
      <c r="H45" s="6">
        <v>0.96499999999999997</v>
      </c>
      <c r="I45" s="3">
        <f t="shared" si="0"/>
        <v>0.97</v>
      </c>
      <c r="J45" s="7">
        <v>7.93</v>
      </c>
      <c r="K45" s="3">
        <f t="shared" si="1"/>
        <v>7.9299999999999995E-3</v>
      </c>
      <c r="L45" s="7">
        <v>6.7519999999999998</v>
      </c>
      <c r="M45" s="3">
        <v>6752</v>
      </c>
      <c r="N45" s="6">
        <v>4.7679999999999998</v>
      </c>
    </row>
    <row r="46" spans="1:14" x14ac:dyDescent="0.35">
      <c r="A46" s="3">
        <v>75</v>
      </c>
      <c r="B46" s="4" t="s">
        <v>22</v>
      </c>
      <c r="C46" s="4" t="s">
        <v>24</v>
      </c>
      <c r="D46" s="5">
        <v>3.5</v>
      </c>
      <c r="E46" s="3" t="s">
        <v>3</v>
      </c>
      <c r="F46" s="3" t="s">
        <v>5</v>
      </c>
      <c r="G46" s="3" t="s">
        <v>7</v>
      </c>
      <c r="H46" s="6">
        <v>0.92400000000000004</v>
      </c>
      <c r="I46" s="3">
        <f t="shared" si="0"/>
        <v>0.92</v>
      </c>
      <c r="J46" s="7">
        <v>7.63</v>
      </c>
      <c r="K46" s="3">
        <f t="shared" si="1"/>
        <v>7.6299999999999996E-3</v>
      </c>
      <c r="L46" s="7">
        <v>6.4660000000000002</v>
      </c>
      <c r="M46" s="3">
        <v>6466</v>
      </c>
      <c r="N46" s="6">
        <v>5.0090000000000003</v>
      </c>
    </row>
    <row r="47" spans="1:14" ht="27" x14ac:dyDescent="0.35">
      <c r="A47" s="3">
        <v>76</v>
      </c>
      <c r="B47" s="4" t="s">
        <v>22</v>
      </c>
      <c r="C47" s="4" t="s">
        <v>25</v>
      </c>
      <c r="D47" s="5">
        <v>3.5</v>
      </c>
      <c r="E47" s="3" t="s">
        <v>3</v>
      </c>
      <c r="F47" s="3" t="s">
        <v>5</v>
      </c>
      <c r="G47" s="3" t="s">
        <v>23</v>
      </c>
      <c r="H47" s="6">
        <v>0.92800000000000005</v>
      </c>
      <c r="I47" s="3">
        <f t="shared" si="0"/>
        <v>0.93</v>
      </c>
      <c r="J47" s="7">
        <v>7.67</v>
      </c>
      <c r="K47" s="3">
        <f t="shared" si="1"/>
        <v>7.6699999999999997E-3</v>
      </c>
      <c r="L47" s="7">
        <v>6.4969999999999999</v>
      </c>
      <c r="M47" s="3">
        <v>6497</v>
      </c>
      <c r="N47" s="6">
        <v>4.891</v>
      </c>
    </row>
    <row r="48" spans="1:14" x14ac:dyDescent="0.35">
      <c r="A48" s="3">
        <v>77</v>
      </c>
      <c r="B48" s="4" t="s">
        <v>22</v>
      </c>
      <c r="C48" s="4" t="s">
        <v>24</v>
      </c>
      <c r="D48" s="5">
        <v>4</v>
      </c>
      <c r="E48" s="3" t="s">
        <v>3</v>
      </c>
      <c r="F48" s="3" t="s">
        <v>5</v>
      </c>
      <c r="G48" s="3" t="s">
        <v>23</v>
      </c>
      <c r="H48" s="6">
        <v>0.82699999999999996</v>
      </c>
      <c r="I48" s="3">
        <f t="shared" si="0"/>
        <v>0.83</v>
      </c>
      <c r="J48" s="7">
        <v>7.79</v>
      </c>
      <c r="K48" s="3">
        <f t="shared" si="1"/>
        <v>7.79E-3</v>
      </c>
      <c r="L48" s="7">
        <v>6.6139999999999999</v>
      </c>
      <c r="M48" s="3">
        <v>6614</v>
      </c>
      <c r="N48" s="6">
        <v>4.8150000000000004</v>
      </c>
    </row>
    <row r="49" spans="1:14" x14ac:dyDescent="0.35">
      <c r="A49" s="3">
        <v>78</v>
      </c>
      <c r="B49" s="4" t="s">
        <v>22</v>
      </c>
      <c r="C49" s="4" t="s">
        <v>24</v>
      </c>
      <c r="D49" s="5">
        <v>3</v>
      </c>
      <c r="E49" s="3" t="s">
        <v>3</v>
      </c>
      <c r="F49" s="3" t="s">
        <v>8</v>
      </c>
      <c r="G49" s="3" t="s">
        <v>23</v>
      </c>
      <c r="H49" s="6">
        <v>1.2829999999999999</v>
      </c>
      <c r="I49" s="3">
        <f t="shared" si="0"/>
        <v>1.28</v>
      </c>
      <c r="J49" s="7">
        <v>8.9499999999999993</v>
      </c>
      <c r="K49" s="3">
        <f t="shared" si="1"/>
        <v>8.9499999999999996E-3</v>
      </c>
      <c r="L49" s="7">
        <v>7.6970000000000001</v>
      </c>
      <c r="M49" s="3">
        <v>7697</v>
      </c>
      <c r="N49" s="6">
        <v>4.3250000000000002</v>
      </c>
    </row>
    <row r="50" spans="1:14" x14ac:dyDescent="0.35">
      <c r="A50" s="3">
        <v>79</v>
      </c>
      <c r="B50" s="4" t="s">
        <v>22</v>
      </c>
      <c r="C50" s="4" t="s">
        <v>24</v>
      </c>
      <c r="D50" s="5">
        <v>3</v>
      </c>
      <c r="E50" s="3" t="s">
        <v>3</v>
      </c>
      <c r="F50" s="3" t="s">
        <v>8</v>
      </c>
      <c r="G50" s="3" t="s">
        <v>7</v>
      </c>
      <c r="H50" s="6">
        <v>1.1100000000000001</v>
      </c>
      <c r="I50" s="3">
        <f t="shared" si="0"/>
        <v>1.1100000000000001</v>
      </c>
      <c r="J50" s="7">
        <v>7.8</v>
      </c>
      <c r="K50" s="3">
        <f t="shared" si="1"/>
        <v>7.7999999999999996E-3</v>
      </c>
      <c r="L50" s="7">
        <v>6.6619999999999999</v>
      </c>
      <c r="M50" s="3">
        <v>6662</v>
      </c>
      <c r="N50" s="6">
        <v>4.5330000000000004</v>
      </c>
    </row>
    <row r="51" spans="1:14" x14ac:dyDescent="0.35">
      <c r="A51" s="3">
        <v>80</v>
      </c>
      <c r="B51" s="4" t="s">
        <v>22</v>
      </c>
      <c r="C51" s="4" t="s">
        <v>24</v>
      </c>
      <c r="D51" s="5">
        <v>3.5</v>
      </c>
      <c r="E51" s="3" t="s">
        <v>3</v>
      </c>
      <c r="F51" s="3" t="s">
        <v>8</v>
      </c>
      <c r="G51" s="3" t="s">
        <v>23</v>
      </c>
      <c r="H51" s="6">
        <v>1.079</v>
      </c>
      <c r="I51" s="3">
        <f t="shared" si="0"/>
        <v>1.08</v>
      </c>
      <c r="J51" s="7">
        <v>8.8000000000000007</v>
      </c>
      <c r="K51" s="3">
        <f t="shared" si="1"/>
        <v>8.8000000000000005E-3</v>
      </c>
      <c r="L51" s="7">
        <v>7.5490000000000004</v>
      </c>
      <c r="M51" s="3">
        <v>7549</v>
      </c>
      <c r="N51" s="6">
        <v>4.3250000000000002</v>
      </c>
    </row>
    <row r="52" spans="1:14" x14ac:dyDescent="0.35">
      <c r="A52" s="3">
        <v>81</v>
      </c>
      <c r="B52" s="4" t="s">
        <v>22</v>
      </c>
      <c r="C52" s="4" t="s">
        <v>24</v>
      </c>
      <c r="D52" s="5">
        <v>3.5</v>
      </c>
      <c r="E52" s="3" t="s">
        <v>3</v>
      </c>
      <c r="F52" s="3" t="s">
        <v>8</v>
      </c>
      <c r="G52" s="3" t="s">
        <v>7</v>
      </c>
      <c r="H52" s="6">
        <v>0.93799999999999994</v>
      </c>
      <c r="I52" s="3">
        <f t="shared" si="0"/>
        <v>0.94</v>
      </c>
      <c r="J52" s="7">
        <v>7.7</v>
      </c>
      <c r="K52" s="3">
        <f t="shared" si="1"/>
        <v>7.7000000000000002E-3</v>
      </c>
      <c r="L52" s="7">
        <v>6.5640000000000001</v>
      </c>
      <c r="M52" s="3">
        <v>6564</v>
      </c>
      <c r="N52" s="6">
        <v>4.532</v>
      </c>
    </row>
    <row r="53" spans="1:14" ht="27" x14ac:dyDescent="0.35">
      <c r="A53" s="3">
        <v>82</v>
      </c>
      <c r="B53" s="4" t="s">
        <v>22</v>
      </c>
      <c r="C53" s="4" t="s">
        <v>25</v>
      </c>
      <c r="D53" s="5">
        <v>3.5</v>
      </c>
      <c r="E53" s="3" t="s">
        <v>3</v>
      </c>
      <c r="F53" s="3" t="s">
        <v>8</v>
      </c>
      <c r="G53" s="3" t="s">
        <v>23</v>
      </c>
      <c r="H53" s="6">
        <v>1.042</v>
      </c>
      <c r="I53" s="3">
        <f t="shared" si="0"/>
        <v>1.04</v>
      </c>
      <c r="J53" s="7">
        <v>8.5399999999999991</v>
      </c>
      <c r="K53" s="3">
        <f t="shared" si="1"/>
        <v>8.539999999999999E-3</v>
      </c>
      <c r="L53" s="7">
        <v>7.2949999999999999</v>
      </c>
      <c r="M53" s="3">
        <v>7295</v>
      </c>
      <c r="N53" s="6">
        <v>4.5890000000000004</v>
      </c>
    </row>
    <row r="54" spans="1:14" x14ac:dyDescent="0.35">
      <c r="A54" s="3">
        <v>83</v>
      </c>
      <c r="B54" s="4" t="s">
        <v>22</v>
      </c>
      <c r="C54" s="4" t="s">
        <v>24</v>
      </c>
      <c r="D54" s="5">
        <v>4</v>
      </c>
      <c r="E54" s="3" t="s">
        <v>3</v>
      </c>
      <c r="F54" s="3" t="s">
        <v>8</v>
      </c>
      <c r="G54" s="3" t="s">
        <v>23</v>
      </c>
      <c r="H54" s="6">
        <v>0.84299999999999997</v>
      </c>
      <c r="I54" s="3">
        <f t="shared" si="0"/>
        <v>0.84</v>
      </c>
      <c r="J54" s="7">
        <v>7.89</v>
      </c>
      <c r="K54" s="3">
        <f t="shared" si="1"/>
        <v>7.8899999999999994E-3</v>
      </c>
      <c r="L54" s="7">
        <v>6.7439999999999998</v>
      </c>
      <c r="M54" s="3">
        <v>6744</v>
      </c>
      <c r="N54" s="6">
        <v>4.67</v>
      </c>
    </row>
  </sheetData>
  <pageMargins left="0.7" right="0.7" top="0.75" bottom="0.75" header="0.3" footer="0.3"/>
  <pageSetup paperSize="9" orientation="portrait" r:id="rId1"/>
  <headerFooter>
    <oddHeader>&amp;L&amp;"Aptos"&amp;10&amp;K000000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 Tavinder (CNH)</dc:creator>
  <cp:lastModifiedBy>ARORA Tavinder (CNH)</cp:lastModifiedBy>
  <dcterms:created xsi:type="dcterms:W3CDTF">2015-06-05T18:17:20Z</dcterms:created>
  <dcterms:modified xsi:type="dcterms:W3CDTF">2026-04-13T11:34:11Z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2026-03-31T13:14:14Z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42fc5913-c974-4e28-bfcc-3af208a82cfb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