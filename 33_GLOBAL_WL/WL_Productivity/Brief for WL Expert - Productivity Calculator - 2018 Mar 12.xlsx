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nhind-my.sharepoint.com/personal/francesco_muci_cnhind_com/Documents/Documenti/ATTACHMENTS/2025/STST TRAINING - ATTACHMENT/WL Expert/"/>
    </mc:Choice>
  </mc:AlternateContent>
  <xr:revisionPtr revIDLastSave="101" documentId="11_40273D80A22C5CE7225D813A901BD118AA38B611" xr6:coauthVersionLast="47" xr6:coauthVersionMax="47" xr10:uidLastSave="{290D52CB-ADBB-4033-8810-B2E66CB0DE26}"/>
  <bookViews>
    <workbookView xWindow="-108" yWindow="-108" windowWidth="23256" windowHeight="12456" firstSheet="1" activeTab="2" xr2:uid="{00000000-000D-0000-FFFF-FFFF00000000}"/>
  </bookViews>
  <sheets>
    <sheet name="SPECIAL BUCKET CHOICE" sheetId="1" state="hidden" r:id="rId1"/>
    <sheet name="PRODUCTIVITY CALCULATOR" sheetId="2" r:id="rId2"/>
    <sheet name="Material data table" sheetId="4" r:id="rId3"/>
    <sheet name="PRODUCTIVITY CALCULATOR (2014)" sheetId="3" state="hidden" r:id="rId4"/>
  </sheets>
  <definedNames>
    <definedName name="_xlnm._FilterDatabase" localSheetId="2" hidden="1">'Material data table'!$B$3:$I$53</definedName>
    <definedName name="_xlnm._FilterDatabase" localSheetId="0" hidden="1">'SPECIAL BUCKET CHOICE'!$A$1:$L$731</definedName>
    <definedName name="_xlnm.Print_Area" localSheetId="1">'PRODUCTIVITY CALCULATOR'!$B$2:$P$31</definedName>
    <definedName name="_xlnm.Print_Area" localSheetId="3">'PRODUCTIVITY CALCULATOR (2014)'!$B$2:$U$17</definedName>
    <definedName name="_xlnm.Print_Area" localSheetId="0">'SPECIAL BUCKET CHOICE'!$C$2:$L$57</definedName>
    <definedName name="_xlnm.Print_Titles" localSheetId="0">'SPECIAL BUCKET CHOICE'!#REF!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2" l="1"/>
  <c r="F25" i="2"/>
  <c r="N24" i="2"/>
  <c r="N22" i="2"/>
  <c r="N20" i="2"/>
  <c r="H20" i="2" l="1"/>
  <c r="H25" i="2"/>
  <c r="H26" i="2"/>
  <c r="P28" i="2" l="1"/>
  <c r="H27" i="2"/>
  <c r="J20" i="2"/>
  <c r="N28" i="2"/>
  <c r="H29" i="2" s="1"/>
  <c r="Q69" i="2" l="1"/>
  <c r="Q50" i="2"/>
  <c r="Q40" i="2"/>
  <c r="Q33" i="2"/>
  <c r="S33" i="2" l="1"/>
  <c r="R33" i="2" l="1"/>
  <c r="T69" i="2"/>
  <c r="T50" i="2"/>
  <c r="T40" i="2"/>
  <c r="T33" i="2"/>
  <c r="S40" i="2" l="1"/>
  <c r="S50" i="2"/>
  <c r="S69" i="2"/>
  <c r="R69" i="2"/>
  <c r="E33" i="2"/>
  <c r="E50" i="2"/>
  <c r="E69" i="2"/>
  <c r="R50" i="2"/>
  <c r="R40" i="2"/>
  <c r="M12" i="3" l="1"/>
  <c r="M11" i="3"/>
  <c r="K11" i="3"/>
  <c r="R10" i="3"/>
  <c r="R9" i="3"/>
  <c r="M9" i="3"/>
  <c r="R8" i="3"/>
  <c r="R6" i="3"/>
  <c r="T14" i="3" l="1"/>
  <c r="R14" i="3" s="1"/>
  <c r="M16" i="3" s="1"/>
  <c r="M6" i="3"/>
  <c r="M13" i="3" s="1"/>
  <c r="M14" i="3" s="1"/>
  <c r="R11" i="3"/>
  <c r="O6" i="3"/>
  <c r="K723" i="1"/>
  <c r="K717" i="1"/>
  <c r="K711" i="1"/>
  <c r="K705" i="1"/>
  <c r="K699" i="1"/>
  <c r="K693" i="1"/>
  <c r="K687" i="1"/>
  <c r="K681" i="1"/>
  <c r="K675" i="1"/>
  <c r="K669" i="1"/>
  <c r="K660" i="1"/>
  <c r="K654" i="1"/>
  <c r="K648" i="1"/>
  <c r="K642" i="1"/>
  <c r="K636" i="1"/>
  <c r="K630" i="1"/>
  <c r="K624" i="1"/>
  <c r="K618" i="1"/>
  <c r="K612" i="1"/>
  <c r="K606" i="1"/>
  <c r="K597" i="1"/>
  <c r="K532" i="1"/>
  <c r="K526" i="1"/>
  <c r="K520" i="1"/>
  <c r="K514" i="1"/>
  <c r="K508" i="1"/>
  <c r="K502" i="1"/>
  <c r="K496" i="1"/>
  <c r="K490" i="1"/>
  <c r="K484" i="1"/>
  <c r="K478" i="1"/>
  <c r="K472" i="1"/>
  <c r="K466" i="1"/>
  <c r="K460" i="1"/>
  <c r="K454" i="1"/>
  <c r="K448" i="1"/>
  <c r="K442" i="1"/>
  <c r="K436" i="1"/>
  <c r="K430" i="1"/>
  <c r="K418" i="1"/>
  <c r="K412" i="1"/>
  <c r="K406" i="1"/>
  <c r="K400" i="1"/>
  <c r="K394" i="1"/>
  <c r="K388" i="1"/>
  <c r="K382" i="1"/>
  <c r="K376" i="1"/>
  <c r="K370" i="1"/>
  <c r="K364" i="1"/>
  <c r="K358" i="1"/>
  <c r="K352" i="1"/>
  <c r="K346" i="1"/>
  <c r="K340" i="1"/>
  <c r="K334" i="1"/>
  <c r="K328" i="1"/>
  <c r="K322" i="1"/>
  <c r="K316" i="1"/>
  <c r="K310" i="1"/>
  <c r="K304" i="1"/>
  <c r="K298" i="1"/>
  <c r="K292" i="1"/>
  <c r="K280" i="1"/>
  <c r="K274" i="1"/>
  <c r="K268" i="1"/>
  <c r="K262" i="1"/>
  <c r="K256" i="1"/>
  <c r="K250" i="1"/>
  <c r="K244" i="1"/>
  <c r="K238" i="1"/>
  <c r="K232" i="1"/>
  <c r="K226" i="1"/>
  <c r="K220" i="1"/>
  <c r="K214" i="1"/>
  <c r="K208" i="1"/>
  <c r="K202" i="1"/>
  <c r="K196" i="1"/>
  <c r="K190" i="1"/>
  <c r="K184" i="1"/>
  <c r="K178" i="1"/>
  <c r="K172" i="1"/>
  <c r="K166" i="1"/>
  <c r="K160" i="1"/>
  <c r="K154" i="1"/>
  <c r="K142" i="1"/>
  <c r="K136" i="1"/>
  <c r="K130" i="1"/>
  <c r="K124" i="1"/>
  <c r="K118" i="1"/>
  <c r="K112" i="1"/>
  <c r="K106" i="1"/>
  <c r="K100" i="1"/>
  <c r="K94" i="1"/>
  <c r="K88" i="1"/>
  <c r="K82" i="1"/>
  <c r="K76" i="1"/>
  <c r="K70" i="1"/>
  <c r="K64" i="1"/>
  <c r="K58" i="1"/>
  <c r="K50" i="1"/>
  <c r="K44" i="1"/>
  <c r="K38" i="1"/>
  <c r="K32" i="1"/>
  <c r="K26" i="1"/>
  <c r="K20" i="1"/>
  <c r="K14" i="1"/>
  <c r="K8" i="1"/>
  <c r="I280" i="1"/>
  <c r="I274" i="1"/>
  <c r="I268" i="1"/>
  <c r="I262" i="1"/>
  <c r="I256" i="1"/>
  <c r="I250" i="1"/>
  <c r="I244" i="1"/>
  <c r="I238" i="1"/>
  <c r="I232" i="1"/>
  <c r="I226" i="1"/>
  <c r="I220" i="1"/>
  <c r="I214" i="1"/>
  <c r="I208" i="1"/>
  <c r="I202" i="1"/>
  <c r="I196" i="1"/>
  <c r="I190" i="1"/>
  <c r="I184" i="1"/>
  <c r="I178" i="1"/>
  <c r="I172" i="1"/>
  <c r="I166" i="1"/>
  <c r="I160" i="1"/>
  <c r="I154" i="1"/>
  <c r="I142" i="1"/>
  <c r="I136" i="1"/>
  <c r="I130" i="1"/>
  <c r="I124" i="1"/>
  <c r="I118" i="1"/>
  <c r="I112" i="1"/>
  <c r="I106" i="1"/>
  <c r="I100" i="1"/>
  <c r="I94" i="1"/>
  <c r="I88" i="1"/>
  <c r="I82" i="1"/>
  <c r="I76" i="1"/>
  <c r="I70" i="1"/>
  <c r="I64" i="1"/>
  <c r="I58" i="1"/>
  <c r="I50" i="1"/>
  <c r="I44" i="1"/>
  <c r="I38" i="1"/>
  <c r="I32" i="1"/>
  <c r="I26" i="1"/>
  <c r="I20" i="1"/>
  <c r="I14" i="1"/>
  <c r="I8" i="1"/>
  <c r="K2" i="1"/>
  <c r="I2" i="1"/>
  <c r="H21" i="2" l="1"/>
  <c r="J21" i="2" s="1"/>
  <c r="M7" i="3"/>
  <c r="R12" i="3" s="1"/>
  <c r="M8" i="3" s="1"/>
  <c r="O7" i="3"/>
  <c r="G2" i="1"/>
  <c r="G8" i="1"/>
  <c r="G14" i="1"/>
  <c r="G20" i="1"/>
  <c r="G26" i="1"/>
  <c r="G32" i="1"/>
  <c r="G38" i="1"/>
  <c r="G44" i="1"/>
  <c r="G50" i="1"/>
  <c r="G56" i="1"/>
  <c r="I56" i="1"/>
  <c r="K56" i="1"/>
  <c r="G57" i="1"/>
  <c r="I57" i="1"/>
  <c r="K57" i="1"/>
  <c r="G58" i="1"/>
  <c r="G64" i="1"/>
  <c r="G70" i="1"/>
  <c r="G76" i="1"/>
  <c r="G82" i="1"/>
  <c r="G88" i="1"/>
  <c r="G94" i="1"/>
  <c r="G100" i="1"/>
  <c r="G106" i="1"/>
  <c r="G112" i="1"/>
  <c r="G118" i="1"/>
  <c r="G124" i="1"/>
  <c r="G130" i="1"/>
  <c r="G136" i="1"/>
  <c r="G142" i="1"/>
  <c r="G148" i="1"/>
  <c r="I148" i="1"/>
  <c r="K148" i="1"/>
  <c r="G149" i="1"/>
  <c r="I149" i="1"/>
  <c r="K149" i="1"/>
  <c r="G150" i="1"/>
  <c r="I150" i="1"/>
  <c r="K150" i="1"/>
  <c r="G151" i="1"/>
  <c r="I151" i="1"/>
  <c r="K151" i="1"/>
  <c r="G152" i="1"/>
  <c r="I152" i="1"/>
  <c r="K152" i="1"/>
  <c r="G153" i="1"/>
  <c r="I153" i="1"/>
  <c r="K153" i="1"/>
  <c r="G154" i="1"/>
  <c r="G160" i="1"/>
  <c r="G166" i="1"/>
  <c r="G172" i="1"/>
  <c r="G178" i="1"/>
  <c r="G184" i="1"/>
  <c r="G190" i="1"/>
  <c r="G196" i="1"/>
  <c r="G202" i="1"/>
  <c r="G208" i="1"/>
  <c r="G214" i="1"/>
  <c r="G220" i="1"/>
  <c r="G226" i="1"/>
  <c r="G232" i="1"/>
  <c r="G238" i="1"/>
  <c r="G244" i="1"/>
  <c r="G250" i="1"/>
  <c r="G256" i="1"/>
  <c r="G262" i="1"/>
  <c r="G268" i="1"/>
  <c r="G274" i="1"/>
  <c r="G280" i="1"/>
  <c r="G286" i="1"/>
  <c r="I286" i="1"/>
  <c r="K286" i="1"/>
  <c r="G287" i="1"/>
  <c r="I287" i="1"/>
  <c r="K287" i="1"/>
  <c r="G288" i="1"/>
  <c r="I288" i="1"/>
  <c r="K288" i="1"/>
  <c r="G289" i="1"/>
  <c r="I289" i="1"/>
  <c r="K289" i="1"/>
  <c r="G290" i="1"/>
  <c r="I290" i="1"/>
  <c r="K290" i="1"/>
  <c r="G291" i="1"/>
  <c r="I291" i="1"/>
  <c r="K291" i="1"/>
  <c r="G292" i="1"/>
  <c r="G298" i="1"/>
  <c r="G304" i="1"/>
  <c r="G310" i="1"/>
  <c r="G316" i="1"/>
  <c r="G322" i="1"/>
  <c r="G328" i="1"/>
  <c r="G334" i="1"/>
  <c r="G340" i="1"/>
  <c r="G346" i="1"/>
  <c r="G352" i="1"/>
  <c r="G358" i="1"/>
  <c r="G364" i="1"/>
  <c r="G370" i="1"/>
  <c r="G376" i="1"/>
  <c r="G382" i="1"/>
  <c r="G388" i="1"/>
  <c r="G394" i="1"/>
  <c r="G400" i="1"/>
  <c r="G406" i="1"/>
  <c r="G412" i="1"/>
  <c r="G418" i="1"/>
  <c r="G424" i="1"/>
  <c r="K424" i="1"/>
  <c r="G425" i="1"/>
  <c r="K425" i="1"/>
  <c r="G426" i="1"/>
  <c r="K426" i="1"/>
  <c r="G427" i="1"/>
  <c r="K427" i="1"/>
  <c r="G428" i="1"/>
  <c r="K428" i="1"/>
  <c r="G429" i="1"/>
  <c r="K429" i="1"/>
  <c r="G430" i="1"/>
  <c r="G436" i="1"/>
  <c r="G442" i="1"/>
  <c r="G448" i="1"/>
  <c r="G454" i="1"/>
  <c r="G460" i="1"/>
  <c r="G466" i="1"/>
  <c r="G472" i="1"/>
  <c r="G478" i="1"/>
  <c r="G484" i="1"/>
  <c r="G490" i="1"/>
  <c r="G496" i="1"/>
  <c r="G502" i="1"/>
  <c r="G508" i="1"/>
  <c r="G514" i="1"/>
  <c r="G520" i="1"/>
  <c r="G526" i="1"/>
  <c r="G532" i="1"/>
  <c r="G538" i="1"/>
  <c r="K538" i="1"/>
  <c r="G539" i="1"/>
  <c r="K539" i="1"/>
  <c r="G540" i="1"/>
  <c r="K540" i="1"/>
  <c r="G541" i="1"/>
  <c r="K541" i="1"/>
  <c r="G542" i="1"/>
  <c r="K542" i="1"/>
  <c r="G543" i="1"/>
  <c r="G549" i="1"/>
  <c r="G585" i="1"/>
  <c r="G591" i="1"/>
  <c r="G597" i="1"/>
  <c r="G603" i="1"/>
  <c r="K603" i="1"/>
  <c r="G604" i="1"/>
  <c r="K604" i="1"/>
  <c r="G605" i="1"/>
  <c r="K605" i="1"/>
  <c r="G606" i="1"/>
  <c r="G612" i="1"/>
  <c r="G618" i="1"/>
  <c r="G624" i="1"/>
  <c r="G630" i="1"/>
  <c r="G636" i="1"/>
  <c r="G642" i="1"/>
  <c r="G648" i="1"/>
  <c r="G654" i="1"/>
  <c r="G660" i="1"/>
  <c r="G666" i="1"/>
  <c r="K666" i="1"/>
  <c r="G667" i="1"/>
  <c r="K667" i="1"/>
  <c r="G668" i="1"/>
  <c r="K668" i="1"/>
  <c r="G669" i="1"/>
  <c r="G675" i="1"/>
  <c r="G681" i="1"/>
  <c r="G687" i="1"/>
  <c r="G693" i="1"/>
  <c r="G699" i="1"/>
  <c r="G705" i="1"/>
  <c r="G711" i="1"/>
  <c r="G717" i="1"/>
  <c r="G723" i="1"/>
  <c r="G729" i="1"/>
  <c r="K729" i="1"/>
  <c r="G730" i="1"/>
  <c r="K730" i="1"/>
  <c r="G731" i="1"/>
  <c r="K731" i="1"/>
  <c r="N25" i="2" l="1"/>
  <c r="H28" i="2" l="1"/>
  <c r="N26" i="2" l="1"/>
  <c r="H30" i="2" s="1"/>
</calcChain>
</file>

<file path=xl/sharedStrings.xml><?xml version="1.0" encoding="utf-8"?>
<sst xmlns="http://schemas.openxmlformats.org/spreadsheetml/2006/main" count="4745" uniqueCount="598">
  <si>
    <t>not available</t>
  </si>
  <si>
    <t>1121F</t>
  </si>
  <si>
    <t>3,1 mc</t>
  </si>
  <si>
    <t>direct fit</t>
  </si>
  <si>
    <t>Volume</t>
  </si>
  <si>
    <t>2,2 mc</t>
  </si>
  <si>
    <t>1,8 mc</t>
  </si>
  <si>
    <t>Bucket Reach @ 45° Dump Angle, Full Height(mm)</t>
  </si>
  <si>
    <t>Dump Height @ 45° Dump Angle, Full Height(mm)</t>
  </si>
  <si>
    <t>Bucket weight (kg)</t>
  </si>
  <si>
    <t>Bucket width (mm)</t>
  </si>
  <si>
    <t>MAX. Densisty (kg/m3)</t>
  </si>
  <si>
    <t>HIGH TIP BUCKETS</t>
  </si>
  <si>
    <t>LIGHT MATERIAL BUCKETS</t>
  </si>
  <si>
    <t>1021F HD axles</t>
  </si>
  <si>
    <t>1021F std axles</t>
  </si>
  <si>
    <t>921F</t>
  </si>
  <si>
    <t>1,3 mc</t>
  </si>
  <si>
    <t>1,8mc</t>
  </si>
  <si>
    <t>with quick coupler</t>
  </si>
  <si>
    <t>1,3mc</t>
  </si>
  <si>
    <t>821F</t>
  </si>
  <si>
    <t>1,1 mc</t>
  </si>
  <si>
    <t>1,1mc</t>
  </si>
  <si>
    <t>721F</t>
  </si>
  <si>
    <t>0,8mc</t>
  </si>
  <si>
    <t>621F</t>
  </si>
  <si>
    <t>521F</t>
  </si>
  <si>
    <t>CNH Part Number</t>
  </si>
  <si>
    <t>XR</t>
  </si>
  <si>
    <t>XT</t>
  </si>
  <si>
    <t>Z-bar</t>
  </si>
  <si>
    <t>DONNEES</t>
  </si>
  <si>
    <t>DATA</t>
  </si>
  <si>
    <t>Capacité Godet</t>
  </si>
  <si>
    <t>m3</t>
  </si>
  <si>
    <t>Production</t>
  </si>
  <si>
    <t>m3 / h</t>
  </si>
  <si>
    <t>Coefficient de Remplissage</t>
  </si>
  <si>
    <t>%</t>
  </si>
  <si>
    <t>t / h</t>
  </si>
  <si>
    <t>Densité matériaux foisonnés</t>
  </si>
  <si>
    <t>kg/m3</t>
  </si>
  <si>
    <t xml:space="preserve">t / l </t>
  </si>
  <si>
    <t>Classe d'Excavation</t>
  </si>
  <si>
    <t xml:space="preserve"> Temps effectif de travail</t>
  </si>
  <si>
    <t>min / h</t>
  </si>
  <si>
    <t>1-4</t>
  </si>
  <si>
    <t xml:space="preserve">Charge réelle du godet </t>
  </si>
  <si>
    <t xml:space="preserve">Distance  </t>
  </si>
  <si>
    <t>avec</t>
  </si>
  <si>
    <t xml:space="preserve">t </t>
  </si>
  <si>
    <t>(minimum 10 m )</t>
  </si>
  <si>
    <t>m</t>
  </si>
  <si>
    <t>Ton/ liter</t>
  </si>
  <si>
    <t>Pente</t>
  </si>
  <si>
    <t>Temps de Cycle</t>
  </si>
  <si>
    <t>min</t>
  </si>
  <si>
    <t>Bränsle</t>
  </si>
  <si>
    <t>Moyenne + / -</t>
  </si>
  <si>
    <t xml:space="preserve">s </t>
  </si>
  <si>
    <t>B60</t>
  </si>
  <si>
    <t>Bb</t>
  </si>
  <si>
    <t>Structure du sol</t>
  </si>
  <si>
    <t>Consommation de Carburant</t>
  </si>
  <si>
    <t>0.0 - 1,0</t>
  </si>
  <si>
    <t>(Moyenne - Long terme)</t>
  </si>
  <si>
    <t>l / h</t>
  </si>
  <si>
    <t>min/h</t>
  </si>
  <si>
    <t>Classes d'excavation</t>
  </si>
  <si>
    <t>1  Facile</t>
  </si>
  <si>
    <t>Terre meuble, sable et gravier, curage de fossés.</t>
  </si>
  <si>
    <t>2  Moyen</t>
  </si>
  <si>
    <t>Terre compactée, argile sèche dure, terre avec moins de 25% de roches.</t>
  </si>
  <si>
    <t>3  Moyen à difficile</t>
  </si>
  <si>
    <t>Terre fortement compactée contenant jusqu'à 50% de roches abattues aux explosifs bien fragmentées.</t>
  </si>
  <si>
    <t>4  Difficile</t>
  </si>
  <si>
    <t>Roches abattues aux explosifs ou terre dure contenant jusqu'à 75% de roches.</t>
  </si>
  <si>
    <t>5  Très difficile</t>
  </si>
  <si>
    <t>Grès, caliche, schiste, certains types de calcaires, terre fortement gelée.</t>
  </si>
  <si>
    <t>Coefficient de remplissage du godet</t>
  </si>
  <si>
    <t>Matériaux</t>
  </si>
  <si>
    <t>Terre</t>
  </si>
  <si>
    <t>100-115</t>
  </si>
  <si>
    <t>Argile</t>
  </si>
  <si>
    <t>110-120</t>
  </si>
  <si>
    <t>Sable</t>
  </si>
  <si>
    <t>100-110</t>
  </si>
  <si>
    <t>Gravier</t>
  </si>
  <si>
    <t>Roche</t>
  </si>
  <si>
    <t>75-100*</t>
  </si>
  <si>
    <t>* Dans certains cas très défavorables le coefficient de remplissage peut être réduit à 60%. En cas de doute il sera préférable de peser les matériaux.</t>
  </si>
  <si>
    <t>Groupe</t>
  </si>
  <si>
    <t xml:space="preserve">Dimension des obstacles </t>
  </si>
  <si>
    <t>Réelle</t>
  </si>
  <si>
    <t>Moyenne</t>
  </si>
  <si>
    <t>5m/100m= 5%</t>
  </si>
  <si>
    <t>Filling rate</t>
  </si>
  <si>
    <t>Distance</t>
  </si>
  <si>
    <t>Effective working time</t>
  </si>
  <si>
    <t>1 Easy: loose earth, sand, gravel, …</t>
  </si>
  <si>
    <t>2 Medium: Terre compactée, argile sèche dure, terre avec moins de 25% de roches.</t>
  </si>
  <si>
    <t>3 Medium:compacted earth, hard dry clay, earth with less than 25% of rocks</t>
  </si>
  <si>
    <t>4 Hard: Blasted rocks or earth with up to 75% of rocks</t>
  </si>
  <si>
    <t>5 Very hard: sandstone, schist, limestone, frozen earth</t>
  </si>
  <si>
    <t>- Pour les distances de transport supérieures à 20 m le coefficient de remplissage doit être réduit de  5%.</t>
  </si>
  <si>
    <t>- For more than 20m cycles, the filling rate must be reduced to  5%</t>
  </si>
  <si>
    <t>Filling Rate</t>
  </si>
  <si>
    <t>Earth</t>
  </si>
  <si>
    <t>Clay</t>
  </si>
  <si>
    <t>Sand</t>
  </si>
  <si>
    <t>Gravel</t>
  </si>
  <si>
    <t>Rocks</t>
  </si>
  <si>
    <t>Material</t>
  </si>
  <si>
    <t>Average slope :</t>
  </si>
  <si>
    <t>Real slope :</t>
  </si>
  <si>
    <t>with</t>
  </si>
  <si>
    <t>% filling</t>
  </si>
  <si>
    <t>(Medium/Lonf term)</t>
  </si>
  <si>
    <t>WHEEL LOADER PRODUCTIVITY ESTIMATOR</t>
  </si>
  <si>
    <t>CHOOSE BUCKET TYPE</t>
  </si>
  <si>
    <t>CHOOSE COUPLING TYPE</t>
  </si>
  <si>
    <t>CHOOSE SIZE</t>
  </si>
  <si>
    <t>SPECS</t>
  </si>
  <si>
    <t>MODEL CHOICE</t>
  </si>
  <si>
    <t>hours/day</t>
  </si>
  <si>
    <t>days/year</t>
  </si>
  <si>
    <t>Effective hourly working time</t>
  </si>
  <si>
    <t>Daily working hours</t>
  </si>
  <si>
    <t>Yearly working days</t>
  </si>
  <si>
    <t>m3 / year</t>
  </si>
  <si>
    <t>t / year</t>
  </si>
  <si>
    <t>SCR Saving</t>
  </si>
  <si>
    <t>speeds</t>
  </si>
  <si>
    <t>5-speed saving Saving</t>
  </si>
  <si>
    <t>Average slope</t>
  </si>
  <si>
    <t>OUTPUT</t>
  </si>
  <si>
    <t>INPUT</t>
  </si>
  <si>
    <t>- Max transport distance allowed : 400 m
- Operator qualification: Medium/Good
- Fuel Usage is an estimate only</t>
  </si>
  <si>
    <t>HOW TO USE THE PRODUCTIVITY ESTIMATOR?</t>
  </si>
  <si>
    <r>
      <t xml:space="preserve">1. </t>
    </r>
    <r>
      <rPr>
        <b/>
        <sz val="10"/>
        <rFont val="Gill Sans MT"/>
        <family val="2"/>
      </rPr>
      <t xml:space="preserve">Sol dur avec obstacles durs. </t>
    </r>
    <r>
      <rPr>
        <sz val="10"/>
        <rFont val="Gill Sans MT"/>
        <family val="2"/>
      </rPr>
      <t>(Route en graviers)</t>
    </r>
  </si>
  <si>
    <r>
      <t xml:space="preserve">2. </t>
    </r>
    <r>
      <rPr>
        <b/>
        <sz val="10"/>
        <rFont val="Gill Sans MT"/>
        <family val="2"/>
      </rPr>
      <t xml:space="preserve">Sol souple avec obstacles peu résistants </t>
    </r>
    <r>
      <rPr>
        <sz val="11"/>
        <color theme="1"/>
        <rFont val="Gill Sans MT"/>
        <family val="2"/>
      </rPr>
      <t xml:space="preserve">(Argile) </t>
    </r>
  </si>
  <si>
    <t>PRODUCTION</t>
  </si>
  <si>
    <t>REAL BUCKET LOAD</t>
  </si>
  <si>
    <t>CYCLE TIME</t>
  </si>
  <si>
    <t>FUEL USAGE ESTIMATE</t>
  </si>
  <si>
    <t>Bucket with grapple</t>
  </si>
  <si>
    <t>LOG GRAPPLE</t>
  </si>
  <si>
    <r>
      <t xml:space="preserve">Excavation class   </t>
    </r>
    <r>
      <rPr>
        <sz val="10"/>
        <color rgb="FF00B050"/>
        <rFont val="Gill Sans MT"/>
        <family val="2"/>
      </rPr>
      <t>Material Resistance</t>
    </r>
  </si>
  <si>
    <r>
      <rPr>
        <b/>
        <strike/>
        <sz val="11"/>
        <rFont val="Gill Sans MT"/>
        <family val="2"/>
      </rPr>
      <t xml:space="preserve">Excavation class  </t>
    </r>
    <r>
      <rPr>
        <b/>
        <sz val="11"/>
        <rFont val="Gill Sans MT"/>
        <family val="2"/>
      </rPr>
      <t xml:space="preserve"> </t>
    </r>
    <r>
      <rPr>
        <b/>
        <sz val="11"/>
        <color rgb="FF00B050"/>
        <rFont val="Gill Sans MT"/>
        <family val="2"/>
      </rPr>
      <t>Material Resistance</t>
    </r>
  </si>
  <si>
    <r>
      <t xml:space="preserve">Ground Structure   </t>
    </r>
    <r>
      <rPr>
        <sz val="10"/>
        <color rgb="FF00B050"/>
        <rFont val="Gill Sans MT"/>
        <family val="2"/>
      </rPr>
      <t>Ground Resistance</t>
    </r>
  </si>
  <si>
    <t>Hard ground with max 2-3 cm obstacles (gravel, ...)</t>
  </si>
  <si>
    <t>Hard ground with up to 2 cm obstacles (gravel, ...)</t>
  </si>
  <si>
    <t>Hard ground with max 10-30 cm obstacles (stones)</t>
  </si>
  <si>
    <t>Hard ground with max 6-10 cm obstacles (stones, ...)</t>
  </si>
  <si>
    <t>Hard ground with max 4-6 cm obstacles (gravel,stones, ...)</t>
  </si>
  <si>
    <t>Hard ground with max 3-4 cm obstacles (big gravel, ...)</t>
  </si>
  <si>
    <t>Hard Ground</t>
  </si>
  <si>
    <t>Soft Ground</t>
  </si>
  <si>
    <t>Soft  ground with sinkages of tires up to 3 cm obstacles</t>
  </si>
  <si>
    <t>Soft  ground with sinkages of tires max 3-4 cm obstacles</t>
  </si>
  <si>
    <t>Soft  ground with sinkages of tires max 4-6 cm obstacles</t>
  </si>
  <si>
    <t>Soft  ground with sinkages of tires max 6-10 cm obstacles</t>
  </si>
  <si>
    <t>Soft  ground with sinkages of tires max 10-30 cm obstacles</t>
  </si>
  <si>
    <t>Soft  ground with sinkages of tires max 30-40 cm obstacles</t>
  </si>
  <si>
    <t>Slope %</t>
  </si>
  <si>
    <r>
      <rPr>
        <strike/>
        <sz val="10"/>
        <color rgb="FFFF0000"/>
        <rFont val="Gill Sans MT"/>
        <family val="2"/>
      </rPr>
      <t xml:space="preserve">Loose </t>
    </r>
    <r>
      <rPr>
        <sz val="10"/>
        <rFont val="Gill Sans MT"/>
        <family val="2"/>
      </rPr>
      <t>Material density</t>
    </r>
  </si>
  <si>
    <r>
      <rPr>
        <strike/>
        <sz val="10"/>
        <color rgb="FFFF0000"/>
        <rFont val="Gill Sans MT"/>
        <family val="2"/>
      </rPr>
      <t xml:space="preserve">Bucket </t>
    </r>
    <r>
      <rPr>
        <sz val="10"/>
        <color rgb="FF00B050"/>
        <rFont val="Gill Sans MT"/>
        <family val="2"/>
      </rPr>
      <t>Attachment</t>
    </r>
    <r>
      <rPr>
        <sz val="10"/>
        <rFont val="Gill Sans MT"/>
        <family val="2"/>
      </rPr>
      <t xml:space="preserve"> Capacity</t>
    </r>
  </si>
  <si>
    <r>
      <t xml:space="preserve">Ground Structure   </t>
    </r>
    <r>
      <rPr>
        <b/>
        <sz val="10"/>
        <color rgb="FF00B050"/>
        <rFont val="Gill Sans MT"/>
        <family val="2"/>
      </rPr>
      <t>Ground Resistance</t>
    </r>
  </si>
  <si>
    <t>Material Resistance</t>
  </si>
  <si>
    <t>Ground Resistance</t>
  </si>
  <si>
    <t>PARAMETRES</t>
  </si>
  <si>
    <t>RESULTATS</t>
  </si>
  <si>
    <t>Capacité du godet</t>
  </si>
  <si>
    <t>Coeficient de remplissage</t>
  </si>
  <si>
    <t>Pente moyenne</t>
  </si>
  <si>
    <t>Résistance au roulement</t>
  </si>
  <si>
    <t>Résistance à la pénétration</t>
  </si>
  <si>
    <t>Type de Transmission</t>
  </si>
  <si>
    <t>Transmission type</t>
  </si>
  <si>
    <r>
      <rPr>
        <sz val="10"/>
        <color rgb="FF00B050"/>
        <rFont val="Gill Sans MT"/>
        <family val="2"/>
      </rPr>
      <t>Transmission type</t>
    </r>
    <r>
      <rPr>
        <sz val="10"/>
        <rFont val="Gill Sans MT"/>
        <family val="2"/>
      </rPr>
      <t xml:space="preserve"> </t>
    </r>
    <r>
      <rPr>
        <strike/>
        <sz val="10"/>
        <color rgb="FFFF0000"/>
        <rFont val="Gill Sans MT"/>
        <family val="2"/>
      </rPr>
      <t>4- or 5-speed with lock-up: write number of gears</t>
    </r>
  </si>
  <si>
    <t>Loose Material density</t>
  </si>
  <si>
    <t>Temps travaillé par heure</t>
  </si>
  <si>
    <t>Nombre d'heures de travail quotidien</t>
  </si>
  <si>
    <t>Nombre de jours travaillé par an</t>
  </si>
  <si>
    <t>Filing Rate</t>
  </si>
  <si>
    <t>Operator Skills: Medium/Good</t>
  </si>
  <si>
    <t>Compétence du chauffeur: moyen/bon</t>
  </si>
  <si>
    <t>Terrain meuble</t>
  </si>
  <si>
    <t>up to 2 cm obstacles (gravel, ...)</t>
  </si>
  <si>
    <t xml:space="preserve"> 2-3 cm obstacles (gravel, ...)</t>
  </si>
  <si>
    <t>3-4 cm obstacles (gravel,stones, ...)</t>
  </si>
  <si>
    <t>4-6 cm obstacles (gravel,stones, ...)</t>
  </si>
  <si>
    <t>6-10 cm obstacles (stones, ...)</t>
  </si>
  <si>
    <t>10-30 cm obstacles (stones)</t>
  </si>
  <si>
    <t>Holes or sinkages of tires up to 3 cm</t>
  </si>
  <si>
    <t>Holes or sinkages of tires of 3-4 cm</t>
  </si>
  <si>
    <t>Holes or sinkages of tires of 4-6 cm</t>
  </si>
  <si>
    <t>Holes or sinkages of tires of 6-10 cm</t>
  </si>
  <si>
    <t>Holes or sinkages of tires of 10-30 cm</t>
  </si>
  <si>
    <t>Holes or sinkages of tires of 30-40 cm</t>
  </si>
  <si>
    <t>Trous ou traces de pneus de max 3 cm</t>
  </si>
  <si>
    <t>Trous ou traces de pneus de 3-4 cm</t>
  </si>
  <si>
    <t>Trous ou traces de pneus de 4-6 cm</t>
  </si>
  <si>
    <t>Trous ou traces de pneus de 6-10 cm</t>
  </si>
  <si>
    <t>Trous ou traces de pneus de 10-30 cm</t>
  </si>
  <si>
    <t>Trous ou traces de pneus de 30-40 cm</t>
  </si>
  <si>
    <t>Real slope</t>
  </si>
  <si>
    <t>FRENCH</t>
  </si>
  <si>
    <t>DEUTSCH</t>
  </si>
  <si>
    <t>ITALIAN</t>
  </si>
  <si>
    <t>SPANISH</t>
  </si>
  <si>
    <t>2 Moyenne: Terre compactée, argile sèche dure, terre avec moins de 25% de roches, tout venant</t>
  </si>
  <si>
    <t>3 Moyenne à Dur :Terre fortement compactée contenant jusqu'à 50% de roches abattues aux explosifs bien fragmentées.</t>
  </si>
  <si>
    <t>4 Dur: Roches abattues aux explosifs ou terre dure contenant jusqu'à 75% de roches.</t>
  </si>
  <si>
    <t>5 Très dur: Grès, schiste, certains types de calcaires, terre fortement gelée.</t>
  </si>
  <si>
    <t>Terrain dur</t>
  </si>
  <si>
    <t>RADLADER - PRODUKTIVITÄTSRECHNER</t>
  </si>
  <si>
    <t>Fahrer: durchschnittlich / gut</t>
  </si>
  <si>
    <t>PARAMETER (Eingabe)</t>
  </si>
  <si>
    <t>Schaufel-Volumen</t>
  </si>
  <si>
    <t>Füllgrad (Schaufel)</t>
  </si>
  <si>
    <t>Schüttgewicht (Material)</t>
  </si>
  <si>
    <t>Fahrstrecke</t>
  </si>
  <si>
    <t>Steigung (durchschnittlich)</t>
  </si>
  <si>
    <t xml:space="preserve">Traktionskoeffizient </t>
  </si>
  <si>
    <t>Eindringwiderstand (Material)</t>
  </si>
  <si>
    <t>Getriebetyp</t>
  </si>
  <si>
    <t>effektive Arbeitszeit (pro Bh)</t>
  </si>
  <si>
    <t>Arbeitsstunden / Tag</t>
  </si>
  <si>
    <t>Arbeitstage / Jahr</t>
  </si>
  <si>
    <t>ERGEBNISSE</t>
  </si>
  <si>
    <t>Umschlagleistung</t>
  </si>
  <si>
    <t>Last in der Schaufel</t>
  </si>
  <si>
    <t>mit</t>
  </si>
  <si>
    <t>Ladespielzeit</t>
  </si>
  <si>
    <t xml:space="preserve">Kraftstoffverbrauch (geschätzt) </t>
  </si>
  <si>
    <t>1 Gering:  loser Boden, Sand , Kies…..</t>
  </si>
  <si>
    <t>2 Medium: verfestigtes Erdreich, Boden mit Steinanteil bis 25%</t>
  </si>
  <si>
    <t>4 Hart: Steinerde, grob gebrochenes Material, Steinanteil &gt; 75%</t>
  </si>
  <si>
    <t>5 Sehr hart: Fels, Sandstein, Schiefer, gefrorener Boden</t>
  </si>
  <si>
    <t>Harter Untergrund</t>
  </si>
  <si>
    <t>Korngröße max 2cm</t>
  </si>
  <si>
    <t>Korngröße 2-3 cm</t>
  </si>
  <si>
    <t>Korngröße 3-4 cm</t>
  </si>
  <si>
    <t>Korngröße 4-6 cm</t>
  </si>
  <si>
    <t>Korngröße 6-10 cm</t>
  </si>
  <si>
    <t>Korngröße 10-30 cm</t>
  </si>
  <si>
    <t>Weicher Untergrund</t>
  </si>
  <si>
    <t>Unebenheiten / Einsinktiefe max 3 cm</t>
  </si>
  <si>
    <t>Unebenheiten / Einsinktiefe 3-4 cm</t>
  </si>
  <si>
    <t>Unebenheiten / Einsinktiefe 4-6 cm</t>
  </si>
  <si>
    <t>Unebenheiten / Einsinktiefe 6-10 cm</t>
  </si>
  <si>
    <t>Unebenheiten / Einsinktiefe 10-30 cm</t>
  </si>
  <si>
    <t>Unebenheiten / Einsinktiefe 30-40 cm</t>
  </si>
  <si>
    <t xml:space="preserve">Echte Steigung </t>
  </si>
  <si>
    <t>Durchschitt: 5m/100m = 5%</t>
  </si>
  <si>
    <t>Pente moyenne: 5m/100m = 5%</t>
  </si>
  <si>
    <t>Pente réelle</t>
  </si>
  <si>
    <t>Filling rate %</t>
  </si>
  <si>
    <t>Material type</t>
  </si>
  <si>
    <t>Rocks (76 mm and larger)</t>
  </si>
  <si>
    <t>Aggregate (25-76 mm)</t>
  </si>
  <si>
    <t>Densité du matériau chargé</t>
  </si>
  <si>
    <t>Cement</t>
  </si>
  <si>
    <t>Limestone</t>
  </si>
  <si>
    <t>Coke</t>
  </si>
  <si>
    <t>Asphalt</t>
  </si>
  <si>
    <t>Wheat</t>
  </si>
  <si>
    <t>Fertiliser</t>
  </si>
  <si>
    <t>Gravel (dry)</t>
  </si>
  <si>
    <t>Gravel (wet)</t>
  </si>
  <si>
    <t>Sand (dry)</t>
  </si>
  <si>
    <t>Sand (wet)</t>
  </si>
  <si>
    <t>Sand (moist)</t>
  </si>
  <si>
    <t>Sand and clay</t>
  </si>
  <si>
    <t>Clay (dry)</t>
  </si>
  <si>
    <t>Clay (natural)</t>
  </si>
  <si>
    <t>Clay (wet)</t>
  </si>
  <si>
    <t>Gravel and clay (dry)</t>
  </si>
  <si>
    <t>Gravel and clay (wet)</t>
  </si>
  <si>
    <t>Earth (dry)</t>
  </si>
  <si>
    <t>Earth (wet)</t>
  </si>
  <si>
    <t>Sugar beet</t>
  </si>
  <si>
    <t>Snow (fresh)</t>
  </si>
  <si>
    <t>Coal (bitumous)</t>
  </si>
  <si>
    <t>Coal (anthracite)</t>
  </si>
  <si>
    <t>Limestone (crushed)</t>
  </si>
  <si>
    <r>
      <t>Loose Material density (t/m</t>
    </r>
    <r>
      <rPr>
        <b/>
        <vertAlign val="superscript"/>
        <sz val="10"/>
        <color theme="0"/>
        <rFont val="Gill Sans MT"/>
        <family val="2"/>
      </rPr>
      <t>3</t>
    </r>
    <r>
      <rPr>
        <b/>
        <sz val="10"/>
        <color theme="0"/>
        <rFont val="Gill Sans MT"/>
        <family val="2"/>
      </rPr>
      <t>)</t>
    </r>
  </si>
  <si>
    <t>Gypsum (broken)</t>
  </si>
  <si>
    <t>Slag (broken)</t>
  </si>
  <si>
    <t>Granite</t>
  </si>
  <si>
    <t>Gravier (sec)</t>
  </si>
  <si>
    <t>Sable et Argile</t>
  </si>
  <si>
    <t>Sable (mouillé)</t>
  </si>
  <si>
    <t>Sable (humide)</t>
  </si>
  <si>
    <t>Sable (sec)</t>
  </si>
  <si>
    <t>Argile (mouillé)</t>
  </si>
  <si>
    <t>Argile (sec)</t>
  </si>
  <si>
    <t>Argile (naturel)</t>
  </si>
  <si>
    <t>Terre (sèche)</t>
  </si>
  <si>
    <t>Granulats (25-76 mm)</t>
  </si>
  <si>
    <t>Charbon (anthracite)</t>
  </si>
  <si>
    <t>Gypse (broken)</t>
  </si>
  <si>
    <t>Roche calcaire (concassée)</t>
  </si>
  <si>
    <t>Pietra calcarea (frantumata)</t>
  </si>
  <si>
    <t>Scories (concassées)</t>
  </si>
  <si>
    <t>Scorie (frantumate)</t>
  </si>
  <si>
    <t>Gesso (frantumato)</t>
  </si>
  <si>
    <t>Cemento</t>
  </si>
  <si>
    <t>Compost (dry)</t>
  </si>
  <si>
    <t>Compost (wet)</t>
  </si>
  <si>
    <t>Compost (sec)</t>
  </si>
  <si>
    <t>Compost (mouillé)</t>
  </si>
  <si>
    <t>Compost (secco)</t>
  </si>
  <si>
    <t>Compost (bagnato)</t>
  </si>
  <si>
    <t>Domestic Waste</t>
  </si>
  <si>
    <t>Bulky Waste</t>
  </si>
  <si>
    <t>Déchets ménagers</t>
  </si>
  <si>
    <t>Déchets en tas</t>
  </si>
  <si>
    <t>Paper (shredded, loose)</t>
  </si>
  <si>
    <t>Paper (recovered, cardboard)</t>
  </si>
  <si>
    <t>Papier (broyé, en vrac)</t>
  </si>
  <si>
    <t>Papier (vieux papier, carton)</t>
  </si>
  <si>
    <t>Gravier and Argile (mouillé)</t>
  </si>
  <si>
    <t>Gravier et Argile (sec)</t>
  </si>
  <si>
    <t>Neige (fraiche)</t>
  </si>
  <si>
    <t>Barbabietole</t>
  </si>
  <si>
    <t>Betteraves</t>
  </si>
  <si>
    <t>Carbone (antracito)</t>
  </si>
  <si>
    <t>Engrais</t>
  </si>
  <si>
    <t>Concime</t>
  </si>
  <si>
    <t>Asfalto</t>
  </si>
  <si>
    <t>Spazzatura (rifiuti domestici)</t>
  </si>
  <si>
    <t>Spazzatura (rifiuti in mucchi)</t>
  </si>
  <si>
    <t>Carta (tagliata a strisce, sfusa)</t>
  </si>
  <si>
    <t>Carta (carta straccia, cartone)</t>
  </si>
  <si>
    <t>Koks</t>
  </si>
  <si>
    <t>Granito</t>
  </si>
  <si>
    <t>Neve (fresca)</t>
  </si>
  <si>
    <t>Topsoil</t>
  </si>
  <si>
    <t>Terre végétale</t>
  </si>
  <si>
    <t>Terriccio</t>
  </si>
  <si>
    <t>Terre (après excavation, mouillée)</t>
  </si>
  <si>
    <t>Sabbia e terra argillosa</t>
  </si>
  <si>
    <t>Roche (76 mm et plus...)</t>
  </si>
  <si>
    <t>Ghiaia asciutta</t>
  </si>
  <si>
    <t>Terra asciutta</t>
  </si>
  <si>
    <t>Terra argillosa asciutta</t>
  </si>
  <si>
    <t>Terra argillosa bagnata</t>
  </si>
  <si>
    <t>Sabbia asciutta</t>
  </si>
  <si>
    <t>Sabbia umida</t>
  </si>
  <si>
    <t>Sabbia bagnata</t>
  </si>
  <si>
    <t>Terra argillosa naturale</t>
  </si>
  <si>
    <t>Ghiaia umida</t>
  </si>
  <si>
    <t>Gravier (humide)</t>
  </si>
  <si>
    <t>Terra bagnata (da scavo)</t>
  </si>
  <si>
    <t>Ghiaia e Terra argillosa asciutta</t>
  </si>
  <si>
    <t>Ghiaia e Terra argillosa bagnata</t>
  </si>
  <si>
    <t>Roccia (da 76 mm in su)</t>
  </si>
  <si>
    <t>Inerti da 25 a 76 mm</t>
  </si>
  <si>
    <t>Grano</t>
  </si>
  <si>
    <t>Blé</t>
  </si>
  <si>
    <t>Charbon (bitumeux)</t>
  </si>
  <si>
    <t>Carbone (bitumoso)</t>
  </si>
  <si>
    <t>Dry salt</t>
  </si>
  <si>
    <t>Sel sec</t>
  </si>
  <si>
    <t>Sale aciutto</t>
  </si>
  <si>
    <t>Materiau</t>
  </si>
  <si>
    <t>Kies (trocken)</t>
  </si>
  <si>
    <t>Sand and Gravel (dry)</t>
  </si>
  <si>
    <t>Sand and Gravel (wet)</t>
  </si>
  <si>
    <t>Sable et gravier (sec)</t>
  </si>
  <si>
    <t>Sable et gravier (mouillés)</t>
  </si>
  <si>
    <t>Sabbia e ghiaia asciutte</t>
  </si>
  <si>
    <t>Sabbia e ghiaia bagnate</t>
  </si>
  <si>
    <t>Kies (feucht)</t>
  </si>
  <si>
    <t>Sand (trocken)</t>
  </si>
  <si>
    <t>Sand (nass)</t>
  </si>
  <si>
    <t>Sand (feucht)</t>
  </si>
  <si>
    <t>Kiesand (trocken)</t>
  </si>
  <si>
    <t>Kiesand (nass)</t>
  </si>
  <si>
    <t>Sand / Ton</t>
  </si>
  <si>
    <t>Kies / Ton (trocken)</t>
  </si>
  <si>
    <t>Kies / Ton (nass)</t>
  </si>
  <si>
    <t>Erde (trocken)</t>
  </si>
  <si>
    <t>Erde (nass ausgehoben)</t>
  </si>
  <si>
    <t>Mutterboden</t>
  </si>
  <si>
    <t>Ton (natuerlich)</t>
  </si>
  <si>
    <t>Ton (trocken)</t>
  </si>
  <si>
    <t>Ton (nass)</t>
  </si>
  <si>
    <t>Schnee</t>
  </si>
  <si>
    <t>Kohle (schwer)</t>
  </si>
  <si>
    <t>Kohle (leicht)</t>
  </si>
  <si>
    <t>Granit</t>
  </si>
  <si>
    <t>Gips (gebrochen)</t>
  </si>
  <si>
    <t>Schlacke (gebrochen)</t>
  </si>
  <si>
    <t>Kalkstein</t>
  </si>
  <si>
    <t>Pietra calcarea</t>
  </si>
  <si>
    <t>Roche calcaire</t>
  </si>
  <si>
    <t>Kalkstein (gebrochen)</t>
  </si>
  <si>
    <t>Kompost (trocken)</t>
  </si>
  <si>
    <t>Kompost (nass)</t>
  </si>
  <si>
    <t>Muell (Hausmuell)</t>
  </si>
  <si>
    <t>Muell (Sperrmuell)</t>
  </si>
  <si>
    <t>Papier (geschreddert / lose)</t>
  </si>
  <si>
    <t>Papier (Altpapier / Karton)</t>
  </si>
  <si>
    <t>Asfalt</t>
  </si>
  <si>
    <t>Consommation de Carburant estimée</t>
  </si>
  <si>
    <t>CALCULATEUR DE PRODUCTIVITÉ DE CHARGEUSE</t>
  </si>
  <si>
    <t>WHEEL LOADER PRODUCTIVITY CALCULATOR</t>
  </si>
  <si>
    <t>CALCOLATORE DI PRODUTTIVITA'</t>
  </si>
  <si>
    <t>competenze dell'operatore: medio/buono</t>
  </si>
  <si>
    <t>PARAMETRI</t>
  </si>
  <si>
    <t>Capactià benna</t>
  </si>
  <si>
    <t>Choisissez le type de matériau:</t>
  </si>
  <si>
    <t>Scelga il tipo di materiale:</t>
  </si>
  <si>
    <t>Coeficiente di riempimento</t>
  </si>
  <si>
    <t>Peso specifico del materiale</t>
  </si>
  <si>
    <t>Distanza</t>
  </si>
  <si>
    <t>Pendenza media</t>
  </si>
  <si>
    <t>Resistenza del terreno</t>
  </si>
  <si>
    <t>1 Faible: Terre meuble, sable et gravier</t>
  </si>
  <si>
    <t>1 Debole: terra morbida, sabbia, ghiaia</t>
  </si>
  <si>
    <t>Resistenza del materiale</t>
  </si>
  <si>
    <t>2 Medium:compacted earth, hard dry clay, earth with less than 25% of rocks</t>
  </si>
  <si>
    <t>3 Medium-Hard: Very compacted earth with up to 50% of blasted rocks</t>
  </si>
  <si>
    <t>3 Medium-Hart: stark verfestigtes Erdreich, trockener Lehm, Boden mit Steinanteil über  25% und bis 50%</t>
  </si>
  <si>
    <t xml:space="preserve">2 Medio: Terra compattata, argillo asciutto, </t>
  </si>
  <si>
    <t>3 Medio-Duro: terra molto compattata con fino a 50% di roccia fragmentata</t>
  </si>
  <si>
    <t>4 Duro: roccia disgregata o terra con fino a 75% di roccia fragmentata</t>
  </si>
  <si>
    <t>5 Molto duro: Arenaria, pietra calcarea, terra gelata</t>
  </si>
  <si>
    <t>vedi foglio material data table</t>
  </si>
  <si>
    <t>Terreno duro</t>
  </si>
  <si>
    <t>Terreno cedevole</t>
  </si>
  <si>
    <t>Buchi o tracce di gomme di max 3cm</t>
  </si>
  <si>
    <t>Buchi o tracce di gomme di 3-4 cm</t>
  </si>
  <si>
    <t>Buchi o tracce di gomme di 4-6 cm</t>
  </si>
  <si>
    <t>Buchi o tracce di gomme di 6-10 cm</t>
  </si>
  <si>
    <t>Buchi o tracce di gomme di 10-30 cm</t>
  </si>
  <si>
    <t>Buchi o tracce di gomme di 30-40 cm</t>
  </si>
  <si>
    <t>Pendenza reale</t>
  </si>
  <si>
    <t>RISULTATI</t>
  </si>
  <si>
    <t>Produzione</t>
  </si>
  <si>
    <t>Tempo di ciclo</t>
  </si>
  <si>
    <t>Consumo di carburante stimato</t>
  </si>
  <si>
    <t>Tipo di trasmissione</t>
  </si>
  <si>
    <t>Tempo lavorato per ora</t>
  </si>
  <si>
    <t>Numero di ore lavorate per giorno</t>
  </si>
  <si>
    <t>Numero di giorni lavorati per anno</t>
  </si>
  <si>
    <t>GERMAN</t>
  </si>
  <si>
    <t>Materiale</t>
  </si>
  <si>
    <t>ENGLISH</t>
  </si>
  <si>
    <t>Tierra ( húmeda )</t>
  </si>
  <si>
    <t>Tierra (seca)</t>
  </si>
  <si>
    <t>Capa superficial</t>
  </si>
  <si>
    <t>Arcilla ( seca )</t>
  </si>
  <si>
    <t>Arcilla (húmeda )</t>
  </si>
  <si>
    <t>Arcilla ( natural )</t>
  </si>
  <si>
    <t>Arena ( seca )</t>
  </si>
  <si>
    <t>Arena ( húmeda )</t>
  </si>
  <si>
    <t>Arena ( mojada )</t>
  </si>
  <si>
    <t>Grava ( seca )</t>
  </si>
  <si>
    <t>Grava ( húmeda )</t>
  </si>
  <si>
    <t>Arena y arcilla</t>
  </si>
  <si>
    <t>Grava y arcilla ( seca )</t>
  </si>
  <si>
    <t>Grava y arcilla ( húmeda )</t>
  </si>
  <si>
    <t>Arena y grava ( seca )</t>
  </si>
  <si>
    <t>Arena y grava ( húmeda )</t>
  </si>
  <si>
    <t>Grava gruesa ( 25-76mm)</t>
  </si>
  <si>
    <t>Rocas ( 76mm y mayores )</t>
  </si>
  <si>
    <t>Nieve ( fresca )</t>
  </si>
  <si>
    <t>Remolacha</t>
  </si>
  <si>
    <t>Trigo</t>
  </si>
  <si>
    <t>Carbón ( bituminoso)</t>
  </si>
  <si>
    <t>Carbón ( antracita )</t>
  </si>
  <si>
    <t>Fertilizante</t>
  </si>
  <si>
    <t>Sal seca</t>
  </si>
  <si>
    <t>Yeso( roto)</t>
  </si>
  <si>
    <t>Escoria ( rota )</t>
  </si>
  <si>
    <t>Caliza</t>
  </si>
  <si>
    <t>Caliza ( triturada )</t>
  </si>
  <si>
    <t>Compost ( seco )</t>
  </si>
  <si>
    <t>compost ( húmedo )</t>
  </si>
  <si>
    <t>Reciclaje doméstico</t>
  </si>
  <si>
    <t>Residuos voluminosos</t>
  </si>
  <si>
    <t>Papel ( triturado, suelto )</t>
  </si>
  <si>
    <t>Papel ( reciclado, cartón)</t>
  </si>
  <si>
    <t>Corcho</t>
  </si>
  <si>
    <t>CÁLCULO DE PRODUCTIVIDAD EN PALAS CARGADORAS</t>
  </si>
  <si>
    <t>Perfil del operador: Medio / Bueno</t>
  </si>
  <si>
    <t>PARÁMETROS</t>
  </si>
  <si>
    <t>Capacidad de la cuchara</t>
  </si>
  <si>
    <t>Elección del tipo de material</t>
  </si>
  <si>
    <t>Coeficiente de llenado</t>
  </si>
  <si>
    <t>Densidad del material suelto</t>
  </si>
  <si>
    <t>Pendiente media</t>
  </si>
  <si>
    <t>Resistencia de rodadura</t>
  </si>
  <si>
    <t>Resistencia a la penetración en el montón</t>
  </si>
  <si>
    <t>Tipo de transmisión</t>
  </si>
  <si>
    <t>Tiempo de trabajo efectivo en una hora</t>
  </si>
  <si>
    <t>Horas de trabajo diárias</t>
  </si>
  <si>
    <t>Horas de trabajo al cabo del año</t>
  </si>
  <si>
    <t>RESULTADOS</t>
  </si>
  <si>
    <t>Producción</t>
  </si>
  <si>
    <t>Tiempo de ciclo</t>
  </si>
  <si>
    <t>Combustible usado estimado</t>
  </si>
  <si>
    <t>1 Sencilla: tierra suelta, arena, grava</t>
  </si>
  <si>
    <t>4 Dura: Rocas grandes, o tierra con más de un 75% de roca</t>
  </si>
  <si>
    <t>5 Muy duro: Arenisca, tierra helada, tierra caliza y esquito</t>
  </si>
  <si>
    <t>Obstáculos de entre 0.0 a 2 cm ( grava, …)</t>
  </si>
  <si>
    <t>Terreno sueve</t>
  </si>
  <si>
    <t>Agujeros o huellas de neumático hasta 3 cm</t>
  </si>
  <si>
    <t>Agujeros o huellas de neumático hasta 3 a 4 cm</t>
  </si>
  <si>
    <t>Agujeros o huellas de neumático hasta 4 a 6 cm</t>
  </si>
  <si>
    <t>Agujeros o huellas de neumático hasta 6 a 10 cm</t>
  </si>
  <si>
    <t>Agujeros o huellas de neumático hasta 10 a 30 cm</t>
  </si>
  <si>
    <t>Agujeros o huellas de neumático hasta 30 a 40 cm</t>
  </si>
  <si>
    <t>Pendiente real</t>
  </si>
  <si>
    <t>Pendiente media 5m/100m= 5%</t>
  </si>
  <si>
    <t>Distancia</t>
  </si>
  <si>
    <t>2 Media: tierra compactada, arcilla seca y dura con menos de un 25% de roca</t>
  </si>
  <si>
    <t>3 Medio - duro: Tierra muy compactada con más de un 50% de roca</t>
  </si>
  <si>
    <t>Wählen Sie Ihr Schüttgut</t>
  </si>
  <si>
    <t>Felsbruch (76mm und größer)</t>
  </si>
  <si>
    <t>Zuckerrüben</t>
  </si>
  <si>
    <t>Duenger</t>
  </si>
  <si>
    <t>Salz (trocken)</t>
  </si>
  <si>
    <t>Zement</t>
  </si>
  <si>
    <t>Gebrochenes Gestein (25-76 mm)</t>
  </si>
  <si>
    <t xml:space="preserve">Charge du godet </t>
  </si>
  <si>
    <t>Carico della benna</t>
  </si>
  <si>
    <t>Carga de la cuchara</t>
  </si>
  <si>
    <t>BUCKET PAYLOAD</t>
  </si>
  <si>
    <t>obstacles de max 2cm (graviers)</t>
  </si>
  <si>
    <t>obstacles de 2-3 cm (graviers)</t>
  </si>
  <si>
    <t>obstacles de 3-4 cm (graviers, pierres)</t>
  </si>
  <si>
    <t>obstacles de 4-6 cm (graviers, pierres)</t>
  </si>
  <si>
    <t>obstacles de 6-10 cm (pierres, roche)</t>
  </si>
  <si>
    <t>obstacles de 10-30 cm (pierres, roche)</t>
  </si>
  <si>
    <t>Obstáculos de 2-3 cm ( grava, …)</t>
  </si>
  <si>
    <t>Obstáculos de 3-4 cm ( grava, piedras,…..)</t>
  </si>
  <si>
    <t>Obstáculos de 6-10 cm ( piedras,…..)</t>
  </si>
  <si>
    <t>Obstáculos de 4-6 cm ( grava, piedras,…..)</t>
  </si>
  <si>
    <t>Obstáculos de 10-30 cm ( piedras,…..)</t>
  </si>
  <si>
    <t>ostaccoli di max 2 cm (ghiaia)</t>
  </si>
  <si>
    <t>ostaccoli di 2-3 cm (ghiaia)</t>
  </si>
  <si>
    <t>ostaccoli di 3-4 cm (ghiaia e pietre)</t>
  </si>
  <si>
    <t>ostaccoli di 4-6 cm (ghiaia e pietre)</t>
  </si>
  <si>
    <t>ostaccoli di 6-10 cm (pietre e roccia)</t>
  </si>
  <si>
    <t>ostaccoli di 10-30 cm (pietre e roccia)</t>
  </si>
  <si>
    <t>sec</t>
  </si>
  <si>
    <r>
      <t>Material density (t/m</t>
    </r>
    <r>
      <rPr>
        <b/>
        <vertAlign val="superscript"/>
        <sz val="10"/>
        <rFont val="Helvetica"/>
      </rPr>
      <t>3</t>
    </r>
    <r>
      <rPr>
        <b/>
        <sz val="10"/>
        <rFont val="Helvetica"/>
      </rPr>
      <t>)</t>
    </r>
  </si>
  <si>
    <r>
      <t xml:space="preserve">1. </t>
    </r>
    <r>
      <rPr>
        <b/>
        <sz val="10"/>
        <rFont val="Helvetica"/>
      </rPr>
      <t xml:space="preserve">Sol dur avec obstacles durs. </t>
    </r>
    <r>
      <rPr>
        <sz val="10"/>
        <rFont val="Helvetica"/>
      </rPr>
      <t>(Route en graviers)</t>
    </r>
  </si>
  <si>
    <r>
      <t xml:space="preserve">2. </t>
    </r>
    <r>
      <rPr>
        <b/>
        <sz val="10"/>
        <rFont val="Helvetica"/>
      </rPr>
      <t xml:space="preserve">Sol souple avec obstacles peu résistants </t>
    </r>
    <r>
      <rPr>
        <sz val="11"/>
        <color theme="1"/>
        <rFont val="Helvetica"/>
      </rPr>
      <t xml:space="preserve">(Argile) </t>
    </r>
  </si>
  <si>
    <t>t/m3</t>
  </si>
  <si>
    <t>Nota: per cicli di più di 20m il coeficiente di riempimento è ridotto di 5%</t>
  </si>
  <si>
    <t>zur Beachtung: bei Fahrstrecken größer 20m ist der Füllgrad um 5% reduziert</t>
  </si>
  <si>
    <r>
      <rPr>
        <u/>
        <sz val="12"/>
        <color theme="4"/>
        <rFont val="Helvetica"/>
      </rPr>
      <t xml:space="preserve">Nota: </t>
    </r>
    <r>
      <rPr>
        <sz val="12"/>
        <color theme="4"/>
        <rFont val="Helvetica"/>
      </rPr>
      <t>para ciclos de más de 20 mts, la capacidad del llenado esta reducida en un 5%</t>
    </r>
  </si>
  <si>
    <r>
      <rPr>
        <u/>
        <sz val="12"/>
        <color theme="4"/>
        <rFont val="Helvetica"/>
      </rPr>
      <t>Note:</t>
    </r>
    <r>
      <rPr>
        <sz val="12"/>
        <color theme="4"/>
        <rFont val="Helvetica"/>
      </rPr>
      <t xml:space="preserve"> Pour des cycles de plus de 20m le coeficient de remplissage du godet est réduit de 5%</t>
    </r>
  </si>
  <si>
    <t xml:space="preserve">AVERAGE FUEL USAGE ESTIMATE </t>
  </si>
  <si>
    <t>l/ 1000 t</t>
  </si>
  <si>
    <r>
      <t>Choose material type :</t>
    </r>
    <r>
      <rPr>
        <sz val="10"/>
        <color rgb="FFFF0000"/>
        <rFont val="Helvetica"/>
      </rPr>
      <t xml:space="preserve"> </t>
    </r>
  </si>
  <si>
    <t>Da selezionare nella tabella dei materiali (spreadsheet "Material data table"). se uno dei 2 valori sotto è modificato a mano, il material name diventa "-"</t>
  </si>
  <si>
    <t>-------&gt;</t>
  </si>
  <si>
    <t>determinato sulla base del materiale scelto</t>
  </si>
  <si>
    <t>input manuale tra 10 e 300</t>
  </si>
  <si>
    <t>Average idling saving</t>
  </si>
  <si>
    <t>tendina con valori della tabella in riga 50-64</t>
  </si>
  <si>
    <t>tendina con valori della  tabella in riga 33-39</t>
  </si>
  <si>
    <t>input manuale tra 1 e 24. valore di default 7</t>
  </si>
  <si>
    <t>input manuale tra 10 e 60. valore di default 40</t>
  </si>
  <si>
    <t>tendina con scelta tra 4 e 5. valore di default 4</t>
  </si>
  <si>
    <t>input manuale tra 1 e365. valore di default 220</t>
  </si>
  <si>
    <r>
      <t xml:space="preserve">input manuale. Mettere di fianco un pulsante </t>
    </r>
    <r>
      <rPr>
        <sz val="14"/>
        <color rgb="FFC00000"/>
        <rFont val="Symbol"/>
        <family val="1"/>
        <charset val="2"/>
      </rPr>
      <t>Å</t>
    </r>
    <r>
      <rPr>
        <sz val="10"/>
        <color rgb="FFC00000"/>
        <rFont val="Helvetica"/>
      </rPr>
      <t xml:space="preserve">  che fa comparire lo schema in riga 69-76</t>
    </r>
  </si>
  <si>
    <t>Standard bucket Capacity</t>
  </si>
  <si>
    <t>input manuale tra 1,5 e 15,0</t>
  </si>
  <si>
    <t>Wood chips</t>
  </si>
  <si>
    <t>150–350 kg/m³</t>
  </si>
  <si>
    <t>Compost</t>
  </si>
  <si>
    <t>400–700 kg/m³</t>
  </si>
  <si>
    <t>700–800 kg/m³</t>
  </si>
  <si>
    <t>Animal feed (pellets/mix)</t>
  </si>
  <si>
    <t>Grain (wheat, corn)</t>
  </si>
  <si>
    <t>500–700 kg/m³</t>
  </si>
  <si>
    <t>Straw (loose)</t>
  </si>
  <si>
    <t>30–100 kg/m³</t>
  </si>
  <si>
    <t>Hay (loose)</t>
  </si>
  <si>
    <t>80–150 kg/m³</t>
  </si>
  <si>
    <t>Coal (loose bulk)</t>
  </si>
  <si>
    <t>800–1,000 kg/m³</t>
  </si>
  <si>
    <t>Wood pellets</t>
  </si>
  <si>
    <t>600–750 kg/m³</t>
  </si>
  <si>
    <t>Plastic pellets</t>
  </si>
  <si>
    <t>Rubber chips</t>
  </si>
  <si>
    <t>400–600 kg/m³</t>
  </si>
  <si>
    <t>Expanded clay (LECA)</t>
  </si>
  <si>
    <t>250–500 kg/m³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</si>
</sst>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&quot; m3&quot;"/>
    <numFmt numFmtId="165" formatCode="0.0"/>
    <numFmt numFmtId="166" formatCode="_-* #,##0_-;\-* #,##0_-;_-* &quot;-&quot;??_-;_-@_-"/>
    <numFmt numFmtId="167" formatCode="_-[$€-410]\ * #,##0_-;\-[$€-410]\ * #,##0_-;_-[$€-410]\ * &quot;-&quot;??_-;_-@_-"/>
    <numFmt numFmtId="168" formatCode="0.000"/>
  </numFmts>
  <fonts count="59"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sz val="10"/>
      <name val="Gill Sans MT"/>
      <family val="2"/>
    </font>
    <font>
      <sz val="10"/>
      <name val="Arial"/>
      <family val="2"/>
    </font>
    <font>
      <b/>
      <sz val="10"/>
      <name val="Gill Sans MT"/>
      <family val="2"/>
    </font>
    <font>
      <sz val="11"/>
      <color theme="1"/>
      <name val="Calibri"/>
      <family val="2"/>
      <scheme val="minor"/>
    </font>
    <font>
      <b/>
      <sz val="10"/>
      <color theme="1"/>
      <name val="Gill Sans MT"/>
      <family val="2"/>
    </font>
    <font>
      <b/>
      <sz val="10"/>
      <color theme="0"/>
      <name val="Gill Sans MT"/>
      <family val="2"/>
    </font>
    <font>
      <sz val="12"/>
      <name val="Gill Sans MT"/>
      <family val="2"/>
    </font>
    <font>
      <b/>
      <sz val="12"/>
      <name val="Gill Sans MT"/>
      <family val="2"/>
    </font>
    <font>
      <sz val="12"/>
      <color indexed="9"/>
      <name val="Gill Sans MT"/>
      <family val="2"/>
    </font>
    <font>
      <b/>
      <sz val="10"/>
      <color indexed="10"/>
      <name val="Gill Sans MT"/>
      <family val="2"/>
    </font>
    <font>
      <b/>
      <sz val="10"/>
      <color rgb="FF0070C0"/>
      <name val="Gill Sans MT"/>
      <family val="2"/>
    </font>
    <font>
      <i/>
      <sz val="10"/>
      <name val="Gill Sans MT"/>
      <family val="2"/>
    </font>
    <font>
      <b/>
      <sz val="11"/>
      <name val="Gill Sans MT"/>
      <family val="2"/>
    </font>
    <font>
      <sz val="11"/>
      <name val="Gill Sans MT"/>
      <family val="2"/>
    </font>
    <font>
      <sz val="10"/>
      <color rgb="FF000000"/>
      <name val="Gill Sans MT"/>
      <family val="2"/>
    </font>
    <font>
      <i/>
      <sz val="8"/>
      <name val="Gill Sans MT"/>
      <family val="2"/>
    </font>
    <font>
      <sz val="11"/>
      <color theme="1"/>
      <name val="Gill Sans MT"/>
      <family val="2"/>
    </font>
    <font>
      <sz val="12"/>
      <color theme="1"/>
      <name val="Gill Sans MT"/>
      <family val="2"/>
    </font>
    <font>
      <sz val="10"/>
      <color rgb="FFFF0000"/>
      <name val="Calibri"/>
      <family val="2"/>
      <scheme val="minor"/>
    </font>
    <font>
      <sz val="10"/>
      <color rgb="FFFF0000"/>
      <name val="Gill Sans MT"/>
      <family val="2"/>
    </font>
    <font>
      <sz val="10"/>
      <color rgb="FFFF0000"/>
      <name val="GillSans"/>
      <family val="2"/>
    </font>
    <font>
      <strike/>
      <sz val="10"/>
      <name val="Gill Sans MT"/>
      <family val="2"/>
    </font>
    <font>
      <sz val="10"/>
      <color rgb="FF00B050"/>
      <name val="Gill Sans MT"/>
      <family val="2"/>
    </font>
    <font>
      <b/>
      <strike/>
      <sz val="11"/>
      <name val="Gill Sans MT"/>
      <family val="2"/>
    </font>
    <font>
      <b/>
      <sz val="11"/>
      <color rgb="FF00B050"/>
      <name val="Gill Sans MT"/>
      <family val="2"/>
    </font>
    <font>
      <strike/>
      <sz val="10"/>
      <color rgb="FFFF0000"/>
      <name val="Gill Sans MT"/>
      <family val="2"/>
    </font>
    <font>
      <b/>
      <strike/>
      <sz val="10"/>
      <name val="Gill Sans MT"/>
      <family val="2"/>
    </font>
    <font>
      <b/>
      <sz val="10"/>
      <color rgb="FF00B050"/>
      <name val="Gill Sans MT"/>
      <family val="2"/>
    </font>
    <font>
      <b/>
      <vertAlign val="superscript"/>
      <sz val="10"/>
      <color theme="0"/>
      <name val="Gill Sans MT"/>
      <family val="2"/>
    </font>
    <font>
      <sz val="12"/>
      <color theme="4"/>
      <name val="Helvetica"/>
    </font>
    <font>
      <b/>
      <sz val="12"/>
      <color theme="4"/>
      <name val="Helvetica"/>
    </font>
    <font>
      <sz val="12"/>
      <color theme="0" tint="-4.9989318521683403E-2"/>
      <name val="Helvetica"/>
    </font>
    <font>
      <i/>
      <sz val="12"/>
      <color theme="0" tint="-4.9989318521683403E-2"/>
      <name val="Helvetica"/>
    </font>
    <font>
      <sz val="12"/>
      <name val="Helvetica"/>
    </font>
    <font>
      <u/>
      <sz val="12"/>
      <color theme="4"/>
      <name val="Helvetica"/>
    </font>
    <font>
      <b/>
      <sz val="11"/>
      <color theme="1"/>
      <name val="Calibri"/>
      <family val="2"/>
      <scheme val="minor"/>
    </font>
    <font>
      <sz val="10"/>
      <name val="Helvetica"/>
    </font>
    <font>
      <b/>
      <sz val="10"/>
      <color theme="0"/>
      <name val="Helvetica"/>
    </font>
    <font>
      <b/>
      <sz val="12"/>
      <name val="Helvetica"/>
    </font>
    <font>
      <sz val="12"/>
      <color indexed="9"/>
      <name val="Helvetica"/>
    </font>
    <font>
      <b/>
      <sz val="10"/>
      <color indexed="10"/>
      <name val="Helvetica"/>
    </font>
    <font>
      <b/>
      <sz val="10"/>
      <name val="Helvetica"/>
    </font>
    <font>
      <b/>
      <sz val="10"/>
      <color rgb="FF0070C0"/>
      <name val="Helvetica"/>
    </font>
    <font>
      <sz val="10"/>
      <color rgb="FFFF0000"/>
      <name val="Helvetica"/>
    </font>
    <font>
      <i/>
      <sz val="10"/>
      <name val="Helvetica"/>
    </font>
    <font>
      <sz val="10"/>
      <color theme="0" tint="-4.9989318521683403E-2"/>
      <name val="Helvetica"/>
    </font>
    <font>
      <b/>
      <sz val="11"/>
      <name val="Helvetica"/>
    </font>
    <font>
      <sz val="11"/>
      <name val="Helvetica"/>
    </font>
    <font>
      <b/>
      <vertAlign val="superscript"/>
      <sz val="10"/>
      <name val="Helvetica"/>
    </font>
    <font>
      <sz val="10"/>
      <color rgb="FF000000"/>
      <name val="Helvetica"/>
    </font>
    <font>
      <i/>
      <sz val="8"/>
      <name val="Helvetica"/>
    </font>
    <font>
      <sz val="10"/>
      <color theme="0" tint="-0.249977111117893"/>
      <name val="Helvetica"/>
    </font>
    <font>
      <sz val="11"/>
      <color theme="1"/>
      <name val="Helvetica"/>
    </font>
    <font>
      <sz val="10"/>
      <color theme="4"/>
      <name val="Helvetica"/>
    </font>
    <font>
      <b/>
      <sz val="11"/>
      <color theme="0"/>
      <name val="Helvetica"/>
    </font>
    <font>
      <sz val="10"/>
      <color rgb="FFC00000"/>
      <name val="Helvetica"/>
    </font>
    <font>
      <sz val="14"/>
      <color rgb="FFC00000"/>
      <name val="Symbol"/>
      <family val="1"/>
      <charset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</fills>
  <borders count="6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medium">
        <color indexed="52"/>
      </top>
      <bottom/>
      <diagonal/>
    </border>
    <border>
      <left style="thin">
        <color indexed="55"/>
      </left>
      <right/>
      <top/>
      <bottom/>
      <diagonal/>
    </border>
    <border>
      <left/>
      <right/>
      <top style="thin">
        <color indexed="52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indexed="52"/>
      </bottom>
      <diagonal/>
    </border>
    <border>
      <left/>
      <right/>
      <top/>
      <bottom style="medium">
        <color indexed="5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55"/>
      </left>
      <right style="thin">
        <color indexed="55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55"/>
      </left>
      <right style="thin">
        <color indexed="55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57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3" fontId="1" fillId="0" borderId="4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vertical="center"/>
    </xf>
    <xf numFmtId="0" fontId="4" fillId="7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2" fillId="7" borderId="0" xfId="1" applyFont="1" applyFill="1"/>
    <xf numFmtId="0" fontId="2" fillId="0" borderId="0" xfId="1" applyFont="1"/>
    <xf numFmtId="0" fontId="2" fillId="0" borderId="0" xfId="1" applyFont="1" applyAlignment="1">
      <alignment horizontal="right"/>
    </xf>
    <xf numFmtId="0" fontId="8" fillId="7" borderId="0" xfId="1" applyFont="1" applyFill="1" applyAlignment="1">
      <alignment vertical="center"/>
    </xf>
    <xf numFmtId="0" fontId="9" fillId="0" borderId="23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9" fillId="0" borderId="24" xfId="1" applyFont="1" applyBorder="1" applyAlignment="1">
      <alignment horizontal="left" vertical="center"/>
    </xf>
    <xf numFmtId="0" fontId="9" fillId="0" borderId="25" xfId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2" fillId="0" borderId="9" xfId="1" applyFont="1" applyBorder="1" applyAlignment="1">
      <alignment vertical="top"/>
    </xf>
    <xf numFmtId="0" fontId="2" fillId="0" borderId="0" xfId="1" applyFont="1" applyAlignment="1">
      <alignment vertical="top"/>
    </xf>
    <xf numFmtId="0" fontId="2" fillId="0" borderId="29" xfId="1" applyFont="1" applyBorder="1"/>
    <xf numFmtId="0" fontId="10" fillId="8" borderId="9" xfId="1" applyFont="1" applyFill="1" applyBorder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0" fontId="2" fillId="8" borderId="0" xfId="1" applyFont="1" applyFill="1"/>
    <xf numFmtId="0" fontId="2" fillId="8" borderId="0" xfId="1" applyFont="1" applyFill="1" applyAlignment="1">
      <alignment horizontal="right"/>
    </xf>
    <xf numFmtId="0" fontId="2" fillId="8" borderId="29" xfId="1" applyFont="1" applyFill="1" applyBorder="1"/>
    <xf numFmtId="0" fontId="2" fillId="8" borderId="9" xfId="1" applyFont="1" applyFill="1" applyBorder="1" applyAlignment="1">
      <alignment vertical="center"/>
    </xf>
    <xf numFmtId="0" fontId="11" fillId="8" borderId="0" xfId="1" applyFont="1" applyFill="1" applyAlignment="1">
      <alignment vertical="center"/>
    </xf>
    <xf numFmtId="0" fontId="2" fillId="8" borderId="0" xfId="1" applyFont="1" applyFill="1" applyAlignment="1">
      <alignment vertical="center"/>
    </xf>
    <xf numFmtId="0" fontId="4" fillId="7" borderId="23" xfId="1" applyFont="1" applyFill="1" applyBorder="1" applyAlignment="1">
      <alignment vertical="center"/>
    </xf>
    <xf numFmtId="0" fontId="4" fillId="7" borderId="24" xfId="1" applyFont="1" applyFill="1" applyBorder="1" applyAlignment="1">
      <alignment horizontal="left" vertical="center"/>
    </xf>
    <xf numFmtId="0" fontId="12" fillId="7" borderId="24" xfId="1" applyFont="1" applyFill="1" applyBorder="1" applyAlignment="1">
      <alignment horizontal="right" vertical="center"/>
    </xf>
    <xf numFmtId="0" fontId="2" fillId="7" borderId="25" xfId="1" applyFont="1" applyFill="1" applyBorder="1" applyAlignment="1">
      <alignment horizontal="right" vertical="center"/>
    </xf>
    <xf numFmtId="0" fontId="8" fillId="8" borderId="0" xfId="1" applyFont="1" applyFill="1" applyAlignment="1">
      <alignment vertical="center"/>
    </xf>
    <xf numFmtId="0" fontId="11" fillId="7" borderId="23" xfId="1" applyFont="1" applyFill="1" applyBorder="1" applyAlignment="1">
      <alignment horizontal="left" vertical="center"/>
    </xf>
    <xf numFmtId="0" fontId="2" fillId="7" borderId="24" xfId="1" applyFont="1" applyFill="1" applyBorder="1" applyAlignment="1">
      <alignment vertical="center"/>
    </xf>
    <xf numFmtId="0" fontId="4" fillId="7" borderId="24" xfId="1" applyFont="1" applyFill="1" applyBorder="1" applyAlignment="1">
      <alignment horizontal="right" vertical="center"/>
    </xf>
    <xf numFmtId="1" fontId="2" fillId="7" borderId="24" xfId="1" applyNumberFormat="1" applyFont="1" applyFill="1" applyBorder="1" applyAlignment="1">
      <alignment horizontal="right" vertical="center"/>
    </xf>
    <xf numFmtId="0" fontId="8" fillId="7" borderId="25" xfId="1" applyFont="1" applyFill="1" applyBorder="1" applyAlignment="1">
      <alignment vertical="center"/>
    </xf>
    <xf numFmtId="0" fontId="8" fillId="8" borderId="29" xfId="1" applyFont="1" applyFill="1" applyBorder="1" applyAlignment="1">
      <alignment vertical="center"/>
    </xf>
    <xf numFmtId="0" fontId="2" fillId="8" borderId="10" xfId="1" applyFont="1" applyFill="1" applyBorder="1" applyAlignment="1">
      <alignment horizontal="left"/>
    </xf>
    <xf numFmtId="0" fontId="2" fillId="8" borderId="11" xfId="1" applyFont="1" applyFill="1" applyBorder="1"/>
    <xf numFmtId="0" fontId="2" fillId="7" borderId="40" xfId="1" applyFont="1" applyFill="1" applyBorder="1" applyAlignment="1">
      <alignment horizontal="left"/>
    </xf>
    <xf numFmtId="0" fontId="2" fillId="7" borderId="41" xfId="1" applyFont="1" applyFill="1" applyBorder="1"/>
    <xf numFmtId="165" fontId="12" fillId="7" borderId="42" xfId="1" applyNumberFormat="1" applyFont="1" applyFill="1" applyBorder="1" applyAlignment="1">
      <alignment horizontal="right"/>
    </xf>
    <xf numFmtId="0" fontId="2" fillId="7" borderId="43" xfId="1" applyFont="1" applyFill="1" applyBorder="1" applyAlignment="1">
      <alignment horizontal="left"/>
    </xf>
    <xf numFmtId="1" fontId="4" fillId="7" borderId="7" xfId="1" applyNumberFormat="1" applyFont="1" applyFill="1" applyBorder="1" applyAlignment="1">
      <alignment horizontal="left"/>
    </xf>
    <xf numFmtId="0" fontId="2" fillId="7" borderId="8" xfId="1" applyFont="1" applyFill="1" applyBorder="1"/>
    <xf numFmtId="0" fontId="2" fillId="7" borderId="31" xfId="1" applyFont="1" applyFill="1" applyBorder="1"/>
    <xf numFmtId="1" fontId="4" fillId="7" borderId="8" xfId="1" applyNumberFormat="1" applyFont="1" applyFill="1" applyBorder="1" applyAlignment="1">
      <alignment horizontal="right"/>
    </xf>
    <xf numFmtId="0" fontId="2" fillId="7" borderId="31" xfId="1" applyFont="1" applyFill="1" applyBorder="1" applyAlignment="1">
      <alignment horizontal="left"/>
    </xf>
    <xf numFmtId="166" fontId="4" fillId="7" borderId="8" xfId="2" applyNumberFormat="1" applyFont="1" applyFill="1" applyBorder="1" applyAlignment="1">
      <alignment horizontal="right"/>
    </xf>
    <xf numFmtId="1" fontId="4" fillId="8" borderId="12" xfId="1" applyNumberFormat="1" applyFont="1" applyFill="1" applyBorder="1" applyAlignment="1">
      <alignment horizontal="left"/>
    </xf>
    <xf numFmtId="0" fontId="2" fillId="8" borderId="9" xfId="1" applyFont="1" applyFill="1" applyBorder="1"/>
    <xf numFmtId="0" fontId="2" fillId="8" borderId="13" xfId="1" applyFont="1" applyFill="1" applyBorder="1" applyAlignment="1">
      <alignment horizontal="left"/>
    </xf>
    <xf numFmtId="0" fontId="2" fillId="7" borderId="44" xfId="1" applyFont="1" applyFill="1" applyBorder="1" applyAlignment="1">
      <alignment horizontal="left"/>
    </xf>
    <xf numFmtId="0" fontId="2" fillId="7" borderId="45" xfId="1" applyFont="1" applyFill="1" applyBorder="1"/>
    <xf numFmtId="0" fontId="12" fillId="7" borderId="46" xfId="1" applyFont="1" applyFill="1" applyBorder="1" applyAlignment="1">
      <alignment horizontal="right"/>
    </xf>
    <xf numFmtId="0" fontId="2" fillId="7" borderId="47" xfId="1" applyFont="1" applyFill="1" applyBorder="1" applyAlignment="1">
      <alignment horizontal="left"/>
    </xf>
    <xf numFmtId="0" fontId="2" fillId="7" borderId="9" xfId="1" applyFont="1" applyFill="1" applyBorder="1" applyAlignment="1">
      <alignment horizontal="left"/>
    </xf>
    <xf numFmtId="0" fontId="2" fillId="7" borderId="29" xfId="1" applyFont="1" applyFill="1" applyBorder="1"/>
    <xf numFmtId="1" fontId="2" fillId="7" borderId="0" xfId="1" applyNumberFormat="1" applyFont="1" applyFill="1" applyAlignment="1">
      <alignment horizontal="right"/>
    </xf>
    <xf numFmtId="0" fontId="2" fillId="7" borderId="29" xfId="1" applyFont="1" applyFill="1" applyBorder="1" applyAlignment="1">
      <alignment horizontal="left"/>
    </xf>
    <xf numFmtId="166" fontId="2" fillId="7" borderId="0" xfId="2" applyNumberFormat="1" applyFont="1" applyFill="1" applyBorder="1" applyAlignment="1">
      <alignment horizontal="right"/>
    </xf>
    <xf numFmtId="0" fontId="2" fillId="8" borderId="0" xfId="1" applyFont="1" applyFill="1" applyAlignment="1">
      <alignment horizontal="left"/>
    </xf>
    <xf numFmtId="0" fontId="2" fillId="7" borderId="9" xfId="1" applyFont="1" applyFill="1" applyBorder="1" applyAlignment="1">
      <alignment horizontal="left" indent="2"/>
    </xf>
    <xf numFmtId="165" fontId="2" fillId="7" borderId="0" xfId="1" applyNumberFormat="1" applyFont="1" applyFill="1" applyAlignment="1">
      <alignment horizontal="right"/>
    </xf>
    <xf numFmtId="2" fontId="2" fillId="8" borderId="0" xfId="1" applyNumberFormat="1" applyFont="1" applyFill="1"/>
    <xf numFmtId="0" fontId="2" fillId="8" borderId="0" xfId="1" applyFont="1" applyFill="1" applyAlignment="1">
      <alignment horizontal="left" indent="2"/>
    </xf>
    <xf numFmtId="0" fontId="2" fillId="7" borderId="26" xfId="1" applyFont="1" applyFill="1" applyBorder="1" applyAlignment="1">
      <alignment horizontal="left" indent="1"/>
    </xf>
    <xf numFmtId="0" fontId="2" fillId="7" borderId="4" xfId="1" applyFont="1" applyFill="1" applyBorder="1"/>
    <xf numFmtId="0" fontId="2" fillId="7" borderId="27" xfId="1" applyFont="1" applyFill="1" applyBorder="1"/>
    <xf numFmtId="0" fontId="2" fillId="7" borderId="4" xfId="1" applyFont="1" applyFill="1" applyBorder="1" applyAlignment="1">
      <alignment horizontal="right"/>
    </xf>
    <xf numFmtId="0" fontId="2" fillId="7" borderId="27" xfId="1" applyFont="1" applyFill="1" applyBorder="1" applyAlignment="1">
      <alignment horizontal="left"/>
    </xf>
    <xf numFmtId="0" fontId="2" fillId="8" borderId="0" xfId="1" applyFont="1" applyFill="1" applyAlignment="1">
      <alignment horizontal="left" indent="1"/>
    </xf>
    <xf numFmtId="49" fontId="2" fillId="8" borderId="13" xfId="1" applyNumberFormat="1" applyFont="1" applyFill="1" applyBorder="1" applyAlignment="1">
      <alignment horizontal="left" indent="1"/>
    </xf>
    <xf numFmtId="1" fontId="2" fillId="7" borderId="44" xfId="1" applyNumberFormat="1" applyFont="1" applyFill="1" applyBorder="1" applyAlignment="1">
      <alignment horizontal="left"/>
    </xf>
    <xf numFmtId="0" fontId="2" fillId="7" borderId="47" xfId="1" applyFont="1" applyFill="1" applyBorder="1"/>
    <xf numFmtId="1" fontId="4" fillId="7" borderId="9" xfId="1" applyNumberFormat="1" applyFont="1" applyFill="1" applyBorder="1" applyAlignment="1">
      <alignment horizontal="left"/>
    </xf>
    <xf numFmtId="2" fontId="4" fillId="7" borderId="0" xfId="1" applyNumberFormat="1" applyFont="1" applyFill="1" applyAlignment="1">
      <alignment horizontal="right"/>
    </xf>
    <xf numFmtId="0" fontId="2" fillId="7" borderId="0" xfId="1" applyFont="1" applyFill="1" applyAlignment="1">
      <alignment horizontal="left"/>
    </xf>
    <xf numFmtId="1" fontId="4" fillId="8" borderId="14" xfId="1" applyNumberFormat="1" applyFont="1" applyFill="1" applyBorder="1" applyAlignment="1">
      <alignment horizontal="left"/>
    </xf>
    <xf numFmtId="1" fontId="2" fillId="8" borderId="15" xfId="1" applyNumberFormat="1" applyFont="1" applyFill="1" applyBorder="1" applyAlignment="1">
      <alignment horizontal="left"/>
    </xf>
    <xf numFmtId="0" fontId="2" fillId="8" borderId="16" xfId="1" applyFont="1" applyFill="1" applyBorder="1"/>
    <xf numFmtId="0" fontId="2" fillId="7" borderId="9" xfId="1" applyFont="1" applyFill="1" applyBorder="1" applyAlignment="1">
      <alignment horizontal="left" indent="1"/>
    </xf>
    <xf numFmtId="0" fontId="4" fillId="7" borderId="0" xfId="1" applyFont="1" applyFill="1" applyAlignment="1">
      <alignment horizontal="right"/>
    </xf>
    <xf numFmtId="165" fontId="4" fillId="7" borderId="0" xfId="1" applyNumberFormat="1" applyFont="1" applyFill="1" applyAlignment="1">
      <alignment horizontal="right"/>
    </xf>
    <xf numFmtId="0" fontId="2" fillId="8" borderId="17" xfId="1" applyFont="1" applyFill="1" applyBorder="1" applyAlignment="1">
      <alignment horizontal="left" indent="1"/>
    </xf>
    <xf numFmtId="0" fontId="2" fillId="8" borderId="18" xfId="1" applyFont="1" applyFill="1" applyBorder="1"/>
    <xf numFmtId="165" fontId="12" fillId="7" borderId="46" xfId="1" applyNumberFormat="1" applyFont="1" applyFill="1" applyBorder="1" applyAlignment="1">
      <alignment horizontal="right"/>
    </xf>
    <xf numFmtId="0" fontId="13" fillId="7" borderId="26" xfId="1" applyFont="1" applyFill="1" applyBorder="1" applyAlignment="1">
      <alignment horizontal="left" indent="1"/>
    </xf>
    <xf numFmtId="0" fontId="13" fillId="7" borderId="4" xfId="1" applyFont="1" applyFill="1" applyBorder="1"/>
    <xf numFmtId="165" fontId="13" fillId="7" borderId="4" xfId="1" applyNumberFormat="1" applyFont="1" applyFill="1" applyBorder="1" applyAlignment="1">
      <alignment horizontal="right"/>
    </xf>
    <xf numFmtId="0" fontId="13" fillId="7" borderId="27" xfId="1" applyFont="1" applyFill="1" applyBorder="1" applyAlignment="1">
      <alignment horizontal="left"/>
    </xf>
    <xf numFmtId="0" fontId="13" fillId="7" borderId="0" xfId="1" applyFont="1" applyFill="1" applyAlignment="1">
      <alignment horizontal="left"/>
    </xf>
    <xf numFmtId="165" fontId="2" fillId="8" borderId="0" xfId="1" applyNumberFormat="1" applyFont="1" applyFill="1"/>
    <xf numFmtId="0" fontId="13" fillId="8" borderId="19" xfId="1" applyFont="1" applyFill="1" applyBorder="1" applyAlignment="1">
      <alignment horizontal="left" indent="1"/>
    </xf>
    <xf numFmtId="0" fontId="2" fillId="7" borderId="44" xfId="1" applyFont="1" applyFill="1" applyBorder="1"/>
    <xf numFmtId="0" fontId="12" fillId="7" borderId="46" xfId="1" applyFont="1" applyFill="1" applyBorder="1"/>
    <xf numFmtId="0" fontId="2" fillId="8" borderId="13" xfId="1" applyFont="1" applyFill="1" applyBorder="1" applyAlignment="1">
      <alignment horizontal="left" indent="1"/>
    </xf>
    <xf numFmtId="1" fontId="2" fillId="7" borderId="26" xfId="1" applyNumberFormat="1" applyFont="1" applyFill="1" applyBorder="1" applyAlignment="1">
      <alignment horizontal="left"/>
    </xf>
    <xf numFmtId="1" fontId="2" fillId="7" borderId="4" xfId="1" applyNumberFormat="1" applyFont="1" applyFill="1" applyBorder="1" applyAlignment="1">
      <alignment horizontal="right"/>
    </xf>
    <xf numFmtId="1" fontId="2" fillId="8" borderId="0" xfId="1" applyNumberFormat="1" applyFont="1" applyFill="1" applyAlignment="1">
      <alignment horizontal="left"/>
    </xf>
    <xf numFmtId="0" fontId="2" fillId="8" borderId="15" xfId="1" applyFont="1" applyFill="1" applyBorder="1" applyAlignment="1">
      <alignment horizontal="left"/>
    </xf>
    <xf numFmtId="9" fontId="2" fillId="8" borderId="0" xfId="3" applyFont="1" applyFill="1" applyBorder="1"/>
    <xf numFmtId="1" fontId="4" fillId="8" borderId="0" xfId="1" applyNumberFormat="1" applyFont="1" applyFill="1"/>
    <xf numFmtId="0" fontId="2" fillId="7" borderId="48" xfId="1" applyFont="1" applyFill="1" applyBorder="1" applyAlignment="1">
      <alignment horizontal="left"/>
    </xf>
    <xf numFmtId="0" fontId="2" fillId="7" borderId="49" xfId="1" applyFont="1" applyFill="1" applyBorder="1"/>
    <xf numFmtId="0" fontId="12" fillId="7" borderId="50" xfId="1" applyFont="1" applyFill="1" applyBorder="1" applyAlignment="1">
      <alignment horizontal="right"/>
    </xf>
    <xf numFmtId="0" fontId="2" fillId="7" borderId="51" xfId="1" applyFont="1" applyFill="1" applyBorder="1" applyAlignment="1">
      <alignment horizontal="left"/>
    </xf>
    <xf numFmtId="1" fontId="2" fillId="8" borderId="0" xfId="1" applyNumberFormat="1" applyFont="1" applyFill="1" applyAlignment="1">
      <alignment horizontal="center"/>
    </xf>
    <xf numFmtId="1" fontId="2" fillId="7" borderId="21" xfId="1" applyNumberFormat="1" applyFont="1" applyFill="1" applyBorder="1" applyAlignment="1">
      <alignment horizontal="left" indent="1"/>
    </xf>
    <xf numFmtId="1" fontId="2" fillId="7" borderId="22" xfId="1" applyNumberFormat="1" applyFont="1" applyFill="1" applyBorder="1" applyAlignment="1">
      <alignment horizontal="center"/>
    </xf>
    <xf numFmtId="1" fontId="2" fillId="7" borderId="28" xfId="1" applyNumberFormat="1" applyFont="1" applyFill="1" applyBorder="1" applyAlignment="1">
      <alignment horizontal="center"/>
    </xf>
    <xf numFmtId="1" fontId="4" fillId="7" borderId="22" xfId="1" applyNumberFormat="1" applyFont="1" applyFill="1" applyBorder="1" applyAlignment="1">
      <alignment horizontal="right"/>
    </xf>
    <xf numFmtId="0" fontId="2" fillId="7" borderId="28" xfId="1" applyFont="1" applyFill="1" applyBorder="1" applyAlignment="1">
      <alignment horizontal="left"/>
    </xf>
    <xf numFmtId="0" fontId="2" fillId="7" borderId="22" xfId="1" applyFont="1" applyFill="1" applyBorder="1" applyAlignment="1">
      <alignment horizontal="left"/>
    </xf>
    <xf numFmtId="0" fontId="2" fillId="7" borderId="28" xfId="1" applyFont="1" applyFill="1" applyBorder="1"/>
    <xf numFmtId="1" fontId="2" fillId="8" borderId="20" xfId="1" applyNumberFormat="1" applyFont="1" applyFill="1" applyBorder="1" applyAlignment="1">
      <alignment horizontal="left" indent="1"/>
    </xf>
    <xf numFmtId="0" fontId="2" fillId="8" borderId="21" xfId="1" applyFont="1" applyFill="1" applyBorder="1"/>
    <xf numFmtId="0" fontId="2" fillId="8" borderId="22" xfId="1" applyFont="1" applyFill="1" applyBorder="1"/>
    <xf numFmtId="0" fontId="2" fillId="8" borderId="22" xfId="1" applyFont="1" applyFill="1" applyBorder="1" applyAlignment="1">
      <alignment horizontal="right"/>
    </xf>
    <xf numFmtId="0" fontId="2" fillId="8" borderId="28" xfId="1" applyFont="1" applyFill="1" applyBorder="1"/>
    <xf numFmtId="0" fontId="4" fillId="0" borderId="23" xfId="1" applyFont="1" applyBorder="1"/>
    <xf numFmtId="0" fontId="2" fillId="0" borderId="24" xfId="1" applyFont="1" applyBorder="1"/>
    <xf numFmtId="0" fontId="2" fillId="0" borderId="24" xfId="1" applyFont="1" applyBorder="1" applyAlignment="1">
      <alignment horizontal="right"/>
    </xf>
    <xf numFmtId="0" fontId="2" fillId="0" borderId="25" xfId="1" applyFont="1" applyBorder="1"/>
    <xf numFmtId="0" fontId="14" fillId="5" borderId="23" xfId="1" applyFont="1" applyFill="1" applyBorder="1" applyAlignment="1">
      <alignment vertical="center"/>
    </xf>
    <xf numFmtId="0" fontId="2" fillId="5" borderId="24" xfId="1" applyFont="1" applyFill="1" applyBorder="1" applyAlignment="1">
      <alignment vertical="center"/>
    </xf>
    <xf numFmtId="0" fontId="2" fillId="5" borderId="25" xfId="1" applyFont="1" applyFill="1" applyBorder="1" applyAlignment="1">
      <alignment vertical="center"/>
    </xf>
    <xf numFmtId="0" fontId="2" fillId="0" borderId="26" xfId="1" applyFont="1" applyBorder="1"/>
    <xf numFmtId="0" fontId="2" fillId="0" borderId="4" xfId="1" applyFont="1" applyBorder="1"/>
    <xf numFmtId="0" fontId="2" fillId="0" borderId="27" xfId="1" applyFont="1" applyBorder="1"/>
    <xf numFmtId="0" fontId="2" fillId="0" borderId="21" xfId="1" applyFont="1" applyBorder="1"/>
    <xf numFmtId="0" fontId="2" fillId="0" borderId="22" xfId="1" applyFont="1" applyBorder="1"/>
    <xf numFmtId="0" fontId="2" fillId="0" borderId="28" xfId="1" applyFont="1" applyBorder="1"/>
    <xf numFmtId="0" fontId="15" fillId="0" borderId="0" xfId="1" applyFont="1"/>
    <xf numFmtId="0" fontId="4" fillId="5" borderId="23" xfId="1" applyFont="1" applyFill="1" applyBorder="1" applyAlignment="1">
      <alignment vertical="center"/>
    </xf>
    <xf numFmtId="0" fontId="4" fillId="0" borderId="9" xfId="1" applyFont="1" applyBorder="1"/>
    <xf numFmtId="0" fontId="2" fillId="0" borderId="9" xfId="1" applyFont="1" applyBorder="1"/>
    <xf numFmtId="0" fontId="16" fillId="0" borderId="0" xfId="0" applyFont="1" applyAlignment="1">
      <alignment horizontal="left" vertical="center" readingOrder="1"/>
    </xf>
    <xf numFmtId="0" fontId="2" fillId="0" borderId="7" xfId="1" applyFont="1" applyBorder="1" applyAlignment="1">
      <alignment vertical="center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30" xfId="1" applyFont="1" applyBorder="1" applyAlignment="1">
      <alignment horizontal="left" vertical="center"/>
    </xf>
    <xf numFmtId="0" fontId="2" fillId="0" borderId="31" xfId="1" applyFont="1" applyBorder="1" applyAlignment="1">
      <alignment horizontal="center" vertical="center"/>
    </xf>
    <xf numFmtId="0" fontId="2" fillId="0" borderId="29" xfId="1" applyFont="1" applyBorder="1" applyAlignment="1">
      <alignment vertical="center"/>
    </xf>
    <xf numFmtId="0" fontId="2" fillId="0" borderId="26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38" xfId="1" applyFont="1" applyBorder="1"/>
    <xf numFmtId="0" fontId="2" fillId="0" borderId="38" xfId="1" applyFont="1" applyBorder="1" applyAlignment="1">
      <alignment horizontal="center"/>
    </xf>
    <xf numFmtId="0" fontId="2" fillId="0" borderId="3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33" xfId="1" applyFont="1" applyBorder="1" applyAlignment="1">
      <alignment horizontal="center"/>
    </xf>
    <xf numFmtId="0" fontId="2" fillId="0" borderId="39" xfId="1" applyFont="1" applyBorder="1"/>
    <xf numFmtId="0" fontId="2" fillId="0" borderId="39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36" xfId="1" applyFont="1" applyBorder="1" applyAlignment="1">
      <alignment horizontal="center"/>
    </xf>
    <xf numFmtId="0" fontId="17" fillId="0" borderId="22" xfId="1" applyFont="1" applyBorder="1" applyAlignment="1">
      <alignment horizontal="left"/>
    </xf>
    <xf numFmtId="0" fontId="17" fillId="0" borderId="21" xfId="1" applyFont="1" applyBorder="1" applyAlignment="1">
      <alignment horizontal="left"/>
    </xf>
    <xf numFmtId="0" fontId="17" fillId="0" borderId="0" xfId="1" applyFont="1" applyAlignment="1">
      <alignment wrapText="1"/>
    </xf>
    <xf numFmtId="0" fontId="2" fillId="6" borderId="37" xfId="1" applyFont="1" applyFill="1" applyBorder="1"/>
    <xf numFmtId="0" fontId="2" fillId="6" borderId="1" xfId="1" applyFont="1" applyFill="1" applyBorder="1"/>
    <xf numFmtId="0" fontId="2" fillId="6" borderId="9" xfId="1" applyFont="1" applyFill="1" applyBorder="1"/>
    <xf numFmtId="0" fontId="2" fillId="6" borderId="0" xfId="1" applyFont="1" applyFill="1"/>
    <xf numFmtId="0" fontId="2" fillId="6" borderId="26" xfId="1" applyFont="1" applyFill="1" applyBorder="1"/>
    <xf numFmtId="0" fontId="2" fillId="6" borderId="4" xfId="1" applyFont="1" applyFill="1" applyBorder="1"/>
    <xf numFmtId="0" fontId="2" fillId="0" borderId="9" xfId="1" applyFont="1" applyBorder="1" applyAlignment="1">
      <alignment horizontal="left" indent="1"/>
    </xf>
    <xf numFmtId="0" fontId="2" fillId="0" borderId="37" xfId="1" applyFont="1" applyBorder="1"/>
    <xf numFmtId="0" fontId="2" fillId="0" borderId="1" xfId="1" applyFont="1" applyBorder="1"/>
    <xf numFmtId="0" fontId="2" fillId="5" borderId="24" xfId="1" applyFont="1" applyFill="1" applyBorder="1"/>
    <xf numFmtId="0" fontId="2" fillId="5" borderId="25" xfId="1" applyFont="1" applyFill="1" applyBorder="1"/>
    <xf numFmtId="0" fontId="2" fillId="0" borderId="9" xfId="1" applyFont="1" applyBorder="1" applyAlignment="1">
      <alignment horizontal="right"/>
    </xf>
    <xf numFmtId="0" fontId="6" fillId="0" borderId="0" xfId="0" applyFont="1"/>
    <xf numFmtId="0" fontId="7" fillId="8" borderId="52" xfId="0" applyFont="1" applyFill="1" applyBorder="1" applyAlignment="1">
      <alignment horizontal="left" vertical="center"/>
    </xf>
    <xf numFmtId="0" fontId="6" fillId="4" borderId="52" xfId="0" applyFont="1" applyFill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7" fontId="19" fillId="0" borderId="0" xfId="0" applyNumberFormat="1" applyFont="1"/>
    <xf numFmtId="167" fontId="19" fillId="0" borderId="0" xfId="0" applyNumberFormat="1" applyFont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2" borderId="1" xfId="0" applyFont="1" applyFill="1" applyBorder="1" applyAlignment="1">
      <alignment vertical="center"/>
    </xf>
    <xf numFmtId="164" fontId="21" fillId="0" borderId="1" xfId="0" applyNumberFormat="1" applyFont="1" applyBorder="1" applyAlignment="1">
      <alignment horizontal="center" vertical="center"/>
    </xf>
    <xf numFmtId="0" fontId="21" fillId="2" borderId="0" xfId="0" applyFont="1" applyFill="1" applyAlignment="1">
      <alignment horizontal="right" vertical="center"/>
    </xf>
    <xf numFmtId="16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21" fillId="0" borderId="4" xfId="0" applyFont="1" applyBorder="1" applyAlignment="1">
      <alignment vertical="center"/>
    </xf>
    <xf numFmtId="164" fontId="2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1" fillId="0" borderId="4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7" borderId="44" xfId="1" applyFont="1" applyFill="1" applyBorder="1" applyAlignment="1">
      <alignment horizontal="left"/>
    </xf>
    <xf numFmtId="165" fontId="2" fillId="0" borderId="7" xfId="1" applyNumberFormat="1" applyFont="1" applyBorder="1"/>
    <xf numFmtId="0" fontId="2" fillId="0" borderId="8" xfId="1" applyFont="1" applyBorder="1"/>
    <xf numFmtId="0" fontId="2" fillId="0" borderId="31" xfId="1" applyFont="1" applyBorder="1"/>
    <xf numFmtId="165" fontId="2" fillId="0" borderId="21" xfId="1" applyNumberFormat="1" applyFont="1" applyBorder="1"/>
    <xf numFmtId="0" fontId="14" fillId="5" borderId="9" xfId="1" applyFont="1" applyFill="1" applyBorder="1" applyAlignment="1">
      <alignment vertical="center"/>
    </xf>
    <xf numFmtId="0" fontId="2" fillId="5" borderId="0" xfId="1" applyFont="1" applyFill="1" applyAlignment="1">
      <alignment vertical="center"/>
    </xf>
    <xf numFmtId="0" fontId="4" fillId="0" borderId="0" xfId="1" applyFont="1"/>
    <xf numFmtId="0" fontId="28" fillId="7" borderId="44" xfId="1" applyFont="1" applyFill="1" applyBorder="1" applyAlignment="1">
      <alignment horizontal="left"/>
    </xf>
    <xf numFmtId="0" fontId="2" fillId="0" borderId="53" xfId="1" applyFont="1" applyBorder="1" applyAlignment="1">
      <alignment horizontal="center"/>
    </xf>
    <xf numFmtId="0" fontId="21" fillId="0" borderId="9" xfId="0" quotePrefix="1" applyFont="1" applyBorder="1" applyAlignment="1">
      <alignment horizontal="left" vertical="center" readingOrder="1"/>
    </xf>
    <xf numFmtId="0" fontId="2" fillId="0" borderId="56" xfId="1" applyFont="1" applyBorder="1" applyAlignment="1">
      <alignment horizontal="center"/>
    </xf>
    <xf numFmtId="0" fontId="2" fillId="0" borderId="62" xfId="1" applyFont="1" applyBorder="1" applyAlignment="1">
      <alignment horizontal="center"/>
    </xf>
    <xf numFmtId="0" fontId="2" fillId="0" borderId="63" xfId="1" applyFont="1" applyBorder="1" applyAlignment="1">
      <alignment horizontal="center"/>
    </xf>
    <xf numFmtId="0" fontId="7" fillId="10" borderId="64" xfId="1" applyFont="1" applyFill="1" applyBorder="1" applyAlignment="1">
      <alignment horizontal="center" vertical="center" wrapText="1"/>
    </xf>
    <xf numFmtId="0" fontId="7" fillId="10" borderId="65" xfId="1" applyFont="1" applyFill="1" applyBorder="1" applyAlignment="1">
      <alignment horizontal="center"/>
    </xf>
    <xf numFmtId="0" fontId="31" fillId="7" borderId="0" xfId="1" applyFont="1" applyFill="1" applyAlignment="1">
      <alignment vertical="center"/>
    </xf>
    <xf numFmtId="0" fontId="31" fillId="7" borderId="0" xfId="1" applyFont="1" applyFill="1" applyAlignment="1">
      <alignment vertical="top"/>
    </xf>
    <xf numFmtId="0" fontId="31" fillId="7" borderId="0" xfId="1" applyFont="1" applyFill="1"/>
    <xf numFmtId="1" fontId="32" fillId="7" borderId="12" xfId="1" applyNumberFormat="1" applyFont="1" applyFill="1" applyBorder="1" applyAlignment="1">
      <alignment horizontal="left"/>
    </xf>
    <xf numFmtId="0" fontId="31" fillId="7" borderId="0" xfId="1" applyFont="1" applyFill="1" applyAlignment="1">
      <alignment horizontal="left"/>
    </xf>
    <xf numFmtId="0" fontId="31" fillId="7" borderId="0" xfId="1" applyFont="1" applyFill="1" applyAlignment="1">
      <alignment horizontal="left" indent="2"/>
    </xf>
    <xf numFmtId="0" fontId="31" fillId="7" borderId="0" xfId="1" applyFont="1" applyFill="1" applyAlignment="1">
      <alignment horizontal="left" indent="1"/>
    </xf>
    <xf numFmtId="1" fontId="32" fillId="7" borderId="14" xfId="1" applyNumberFormat="1" applyFont="1" applyFill="1" applyBorder="1" applyAlignment="1">
      <alignment horizontal="left"/>
    </xf>
    <xf numFmtId="0" fontId="33" fillId="7" borderId="0" xfId="1" applyFont="1" applyFill="1" applyAlignment="1">
      <alignment horizontal="left" indent="1"/>
    </xf>
    <xf numFmtId="0" fontId="34" fillId="7" borderId="19" xfId="1" applyFont="1" applyFill="1" applyBorder="1" applyAlignment="1">
      <alignment horizontal="left" indent="1"/>
    </xf>
    <xf numFmtId="1" fontId="31" fillId="7" borderId="0" xfId="1" applyNumberFormat="1" applyFont="1" applyFill="1" applyAlignment="1">
      <alignment horizontal="left"/>
    </xf>
    <xf numFmtId="1" fontId="31" fillId="7" borderId="20" xfId="1" applyNumberFormat="1" applyFont="1" applyFill="1" applyBorder="1" applyAlignment="1">
      <alignment horizontal="left" indent="1"/>
    </xf>
    <xf numFmtId="0" fontId="35" fillId="7" borderId="0" xfId="1" applyFont="1" applyFill="1"/>
    <xf numFmtId="0" fontId="35" fillId="7" borderId="0" xfId="1" applyFont="1" applyFill="1" applyAlignment="1">
      <alignment horizontal="left"/>
    </xf>
    <xf numFmtId="0" fontId="32" fillId="7" borderId="0" xfId="1" applyFont="1" applyFill="1" applyAlignment="1">
      <alignment horizontal="left"/>
    </xf>
    <xf numFmtId="0" fontId="31" fillId="0" borderId="0" xfId="1" applyFont="1"/>
    <xf numFmtId="0" fontId="7" fillId="10" borderId="67" xfId="1" applyFont="1" applyFill="1" applyBorder="1" applyAlignment="1">
      <alignment horizontal="center" vertical="center" wrapText="1"/>
    </xf>
    <xf numFmtId="0" fontId="2" fillId="0" borderId="68" xfId="1" applyFont="1" applyBorder="1" applyAlignment="1">
      <alignment horizontal="center"/>
    </xf>
    <xf numFmtId="0" fontId="1" fillId="0" borderId="32" xfId="1" applyFont="1" applyBorder="1" applyAlignment="1">
      <alignment horizontal="center"/>
    </xf>
    <xf numFmtId="0" fontId="31" fillId="0" borderId="0" xfId="1" applyFont="1" applyAlignment="1">
      <alignment vertical="center"/>
    </xf>
    <xf numFmtId="0" fontId="31" fillId="0" borderId="0" xfId="1" applyFont="1" applyAlignment="1">
      <alignment vertical="top"/>
    </xf>
    <xf numFmtId="1" fontId="32" fillId="0" borderId="12" xfId="1" applyNumberFormat="1" applyFont="1" applyBorder="1" applyAlignment="1">
      <alignment horizontal="left"/>
    </xf>
    <xf numFmtId="0" fontId="31" fillId="0" borderId="0" xfId="1" applyFont="1" applyAlignment="1">
      <alignment horizontal="left"/>
    </xf>
    <xf numFmtId="0" fontId="31" fillId="0" borderId="0" xfId="1" applyFont="1" applyAlignment="1">
      <alignment horizontal="left" indent="2"/>
    </xf>
    <xf numFmtId="0" fontId="31" fillId="0" borderId="0" xfId="1" applyFont="1" applyAlignment="1">
      <alignment horizontal="left" indent="1"/>
    </xf>
    <xf numFmtId="1" fontId="32" fillId="0" borderId="14" xfId="1" applyNumberFormat="1" applyFont="1" applyBorder="1" applyAlignment="1">
      <alignment horizontal="left"/>
    </xf>
    <xf numFmtId="0" fontId="33" fillId="0" borderId="0" xfId="1" applyFont="1" applyAlignment="1">
      <alignment horizontal="left" indent="1"/>
    </xf>
    <xf numFmtId="0" fontId="34" fillId="0" borderId="19" xfId="1" applyFont="1" applyBorder="1" applyAlignment="1">
      <alignment horizontal="left" indent="1"/>
    </xf>
    <xf numFmtId="1" fontId="31" fillId="0" borderId="0" xfId="1" applyNumberFormat="1" applyFont="1" applyAlignment="1">
      <alignment horizontal="left"/>
    </xf>
    <xf numFmtId="1" fontId="31" fillId="0" borderId="20" xfId="1" applyNumberFormat="1" applyFont="1" applyBorder="1" applyAlignment="1">
      <alignment horizontal="left" indent="1"/>
    </xf>
    <xf numFmtId="0" fontId="35" fillId="0" borderId="0" xfId="1" applyFont="1"/>
    <xf numFmtId="0" fontId="35" fillId="0" borderId="0" xfId="1" applyFont="1" applyAlignment="1">
      <alignment horizontal="left"/>
    </xf>
    <xf numFmtId="0" fontId="32" fillId="0" borderId="0" xfId="1" applyFont="1" applyAlignment="1">
      <alignment horizontal="left"/>
    </xf>
    <xf numFmtId="0" fontId="37" fillId="0" borderId="0" xfId="0" applyFont="1" applyAlignment="1">
      <alignment horizontal="center"/>
    </xf>
    <xf numFmtId="0" fontId="32" fillId="0" borderId="0" xfId="1" applyFont="1"/>
    <xf numFmtId="0" fontId="32" fillId="7" borderId="0" xfId="1" applyFont="1" applyFill="1"/>
    <xf numFmtId="0" fontId="32" fillId="0" borderId="0" xfId="1" applyFont="1" applyAlignment="1">
      <alignment vertical="center"/>
    </xf>
    <xf numFmtId="0" fontId="32" fillId="7" borderId="0" xfId="1" applyFont="1" applyFill="1" applyAlignment="1">
      <alignment vertical="center"/>
    </xf>
    <xf numFmtId="0" fontId="38" fillId="0" borderId="0" xfId="1" applyFont="1"/>
    <xf numFmtId="0" fontId="38" fillId="0" borderId="0" xfId="1" applyFont="1" applyAlignment="1">
      <alignment horizontal="right"/>
    </xf>
    <xf numFmtId="0" fontId="39" fillId="9" borderId="57" xfId="1" applyFont="1" applyFill="1" applyBorder="1" applyAlignment="1">
      <alignment horizontal="center" vertical="center"/>
    </xf>
    <xf numFmtId="0" fontId="38" fillId="7" borderId="0" xfId="1" applyFont="1" applyFill="1"/>
    <xf numFmtId="0" fontId="40" fillId="0" borderId="23" xfId="1" applyFont="1" applyBorder="1" applyAlignment="1">
      <alignment horizontal="center" vertical="center"/>
    </xf>
    <xf numFmtId="0" fontId="40" fillId="0" borderId="24" xfId="1" applyFont="1" applyBorder="1" applyAlignment="1">
      <alignment horizontal="center" vertical="center"/>
    </xf>
    <xf numFmtId="0" fontId="40" fillId="0" borderId="24" xfId="1" applyFont="1" applyBorder="1" applyAlignment="1">
      <alignment horizontal="left" vertical="center"/>
    </xf>
    <xf numFmtId="0" fontId="35" fillId="0" borderId="0" xfId="1" applyFont="1" applyAlignment="1">
      <alignment vertical="center"/>
    </xf>
    <xf numFmtId="0" fontId="35" fillId="7" borderId="0" xfId="1" applyFont="1" applyFill="1" applyAlignment="1">
      <alignment vertical="center"/>
    </xf>
    <xf numFmtId="0" fontId="38" fillId="0" borderId="9" xfId="1" applyFont="1" applyBorder="1" applyAlignment="1">
      <alignment vertical="top"/>
    </xf>
    <xf numFmtId="0" fontId="38" fillId="0" borderId="0" xfId="1" applyFont="1" applyAlignment="1">
      <alignment vertical="top"/>
    </xf>
    <xf numFmtId="0" fontId="41" fillId="8" borderId="9" xfId="1" applyFont="1" applyFill="1" applyBorder="1" applyAlignment="1">
      <alignment horizontal="center" vertical="center" wrapText="1"/>
    </xf>
    <xf numFmtId="0" fontId="41" fillId="8" borderId="0" xfId="1" applyFont="1" applyFill="1" applyAlignment="1">
      <alignment horizontal="center" vertical="center" wrapText="1"/>
    </xf>
    <xf numFmtId="0" fontId="38" fillId="8" borderId="0" xfId="1" applyFont="1" applyFill="1"/>
    <xf numFmtId="0" fontId="38" fillId="8" borderId="0" xfId="1" applyFont="1" applyFill="1" applyAlignment="1">
      <alignment horizontal="right"/>
    </xf>
    <xf numFmtId="0" fontId="38" fillId="0" borderId="0" xfId="1" quotePrefix="1" applyFont="1" applyAlignment="1">
      <alignment horizontal="left" vertical="top" wrapText="1"/>
    </xf>
    <xf numFmtId="0" fontId="38" fillId="8" borderId="9" xfId="1" applyFont="1" applyFill="1" applyBorder="1" applyAlignment="1">
      <alignment vertical="center"/>
    </xf>
    <xf numFmtId="0" fontId="42" fillId="8" borderId="0" xfId="1" applyFont="1" applyFill="1" applyAlignment="1">
      <alignment vertical="center"/>
    </xf>
    <xf numFmtId="0" fontId="38" fillId="8" borderId="0" xfId="1" applyFont="1" applyFill="1" applyAlignment="1">
      <alignment vertical="center"/>
    </xf>
    <xf numFmtId="0" fontId="35" fillId="8" borderId="0" xfId="1" applyFont="1" applyFill="1" applyAlignment="1">
      <alignment vertical="center"/>
    </xf>
    <xf numFmtId="0" fontId="38" fillId="8" borderId="10" xfId="1" applyFont="1" applyFill="1" applyBorder="1" applyAlignment="1">
      <alignment horizontal="left"/>
    </xf>
    <xf numFmtId="0" fontId="38" fillId="8" borderId="11" xfId="1" applyFont="1" applyFill="1" applyBorder="1"/>
    <xf numFmtId="0" fontId="38" fillId="7" borderId="40" xfId="1" applyFont="1" applyFill="1" applyBorder="1" applyAlignment="1">
      <alignment horizontal="left"/>
    </xf>
    <xf numFmtId="0" fontId="38" fillId="7" borderId="41" xfId="1" applyFont="1" applyFill="1" applyBorder="1"/>
    <xf numFmtId="165" fontId="44" fillId="7" borderId="42" xfId="1" applyNumberFormat="1" applyFont="1" applyFill="1" applyBorder="1" applyAlignment="1">
      <alignment horizontal="right"/>
    </xf>
    <xf numFmtId="0" fontId="38" fillId="7" borderId="43" xfId="1" applyFont="1" applyFill="1" applyBorder="1" applyAlignment="1">
      <alignment horizontal="left"/>
    </xf>
    <xf numFmtId="0" fontId="38" fillId="8" borderId="13" xfId="1" applyFont="1" applyFill="1" applyBorder="1" applyAlignment="1">
      <alignment horizontal="left"/>
    </xf>
    <xf numFmtId="0" fontId="38" fillId="7" borderId="59" xfId="1" applyFont="1" applyFill="1" applyBorder="1" applyAlignment="1">
      <alignment horizontal="left"/>
    </xf>
    <xf numFmtId="0" fontId="38" fillId="7" borderId="60" xfId="1" applyFont="1" applyFill="1" applyBorder="1"/>
    <xf numFmtId="165" fontId="44" fillId="7" borderId="61" xfId="1" applyNumberFormat="1" applyFont="1" applyFill="1" applyBorder="1" applyAlignment="1">
      <alignment horizontal="right"/>
    </xf>
    <xf numFmtId="0" fontId="38" fillId="7" borderId="58" xfId="1" applyFont="1" applyFill="1" applyBorder="1" applyAlignment="1">
      <alignment horizontal="left"/>
    </xf>
    <xf numFmtId="0" fontId="38" fillId="8" borderId="9" xfId="1" applyFont="1" applyFill="1" applyBorder="1"/>
    <xf numFmtId="0" fontId="38" fillId="7" borderId="44" xfId="1" applyFont="1" applyFill="1" applyBorder="1" applyAlignment="1">
      <alignment horizontal="left" indent="4"/>
    </xf>
    <xf numFmtId="0" fontId="38" fillId="7" borderId="45" xfId="1" applyFont="1" applyFill="1" applyBorder="1"/>
    <xf numFmtId="0" fontId="44" fillId="7" borderId="46" xfId="1" applyFont="1" applyFill="1" applyBorder="1" applyAlignment="1">
      <alignment horizontal="right"/>
    </xf>
    <xf numFmtId="0" fontId="38" fillId="7" borderId="47" xfId="1" applyFont="1" applyFill="1" applyBorder="1" applyAlignment="1">
      <alignment horizontal="left"/>
    </xf>
    <xf numFmtId="1" fontId="38" fillId="7" borderId="44" xfId="1" applyNumberFormat="1" applyFont="1" applyFill="1" applyBorder="1" applyAlignment="1">
      <alignment horizontal="left"/>
    </xf>
    <xf numFmtId="0" fontId="38" fillId="7" borderId="47" xfId="1" applyFont="1" applyFill="1" applyBorder="1"/>
    <xf numFmtId="49" fontId="38" fillId="8" borderId="13" xfId="1" applyNumberFormat="1" applyFont="1" applyFill="1" applyBorder="1" applyAlignment="1">
      <alignment horizontal="left" indent="1"/>
    </xf>
    <xf numFmtId="0" fontId="38" fillId="7" borderId="44" xfId="1" applyFont="1" applyFill="1" applyBorder="1" applyAlignment="1">
      <alignment horizontal="left"/>
    </xf>
    <xf numFmtId="1" fontId="38" fillId="8" borderId="15" xfId="1" applyNumberFormat="1" applyFont="1" applyFill="1" applyBorder="1" applyAlignment="1">
      <alignment horizontal="left"/>
    </xf>
    <xf numFmtId="0" fontId="38" fillId="8" borderId="16" xfId="1" applyFont="1" applyFill="1" applyBorder="1"/>
    <xf numFmtId="165" fontId="44" fillId="7" borderId="46" xfId="1" applyNumberFormat="1" applyFont="1" applyFill="1" applyBorder="1" applyAlignment="1">
      <alignment horizontal="right"/>
    </xf>
    <xf numFmtId="0" fontId="38" fillId="8" borderId="17" xfId="1" applyFont="1" applyFill="1" applyBorder="1" applyAlignment="1">
      <alignment horizontal="left" indent="1"/>
    </xf>
    <xf numFmtId="0" fontId="38" fillId="8" borderId="18" xfId="1" applyFont="1" applyFill="1" applyBorder="1"/>
    <xf numFmtId="0" fontId="38" fillId="7" borderId="44" xfId="1" applyFont="1" applyFill="1" applyBorder="1"/>
    <xf numFmtId="0" fontId="44" fillId="7" borderId="46" xfId="1" applyFont="1" applyFill="1" applyBorder="1"/>
    <xf numFmtId="0" fontId="38" fillId="8" borderId="13" xfId="1" applyFont="1" applyFill="1" applyBorder="1" applyAlignment="1">
      <alignment horizontal="left" indent="1"/>
    </xf>
    <xf numFmtId="0" fontId="38" fillId="8" borderId="15" xfId="1" applyFont="1" applyFill="1" applyBorder="1" applyAlignment="1">
      <alignment horizontal="left"/>
    </xf>
    <xf numFmtId="0" fontId="38" fillId="7" borderId="48" xfId="1" applyFont="1" applyFill="1" applyBorder="1" applyAlignment="1">
      <alignment horizontal="left"/>
    </xf>
    <xf numFmtId="0" fontId="38" fillId="7" borderId="49" xfId="1" applyFont="1" applyFill="1" applyBorder="1"/>
    <xf numFmtId="0" fontId="44" fillId="7" borderId="50" xfId="1" applyFont="1" applyFill="1" applyBorder="1" applyAlignment="1">
      <alignment horizontal="right"/>
    </xf>
    <xf numFmtId="0" fontId="38" fillId="7" borderId="51" xfId="1" applyFont="1" applyFill="1" applyBorder="1" applyAlignment="1">
      <alignment horizontal="left"/>
    </xf>
    <xf numFmtId="0" fontId="38" fillId="8" borderId="21" xfId="1" applyFont="1" applyFill="1" applyBorder="1"/>
    <xf numFmtId="0" fontId="38" fillId="8" borderId="22" xfId="1" applyFont="1" applyFill="1" applyBorder="1"/>
    <xf numFmtId="0" fontId="38" fillId="8" borderId="22" xfId="1" applyFont="1" applyFill="1" applyBorder="1" applyAlignment="1">
      <alignment horizontal="right"/>
    </xf>
    <xf numFmtId="0" fontId="38" fillId="8" borderId="29" xfId="1" applyFont="1" applyFill="1" applyBorder="1"/>
    <xf numFmtId="1" fontId="43" fillId="7" borderId="7" xfId="1" applyNumberFormat="1" applyFont="1" applyFill="1" applyBorder="1" applyAlignment="1">
      <alignment horizontal="left"/>
    </xf>
    <xf numFmtId="0" fontId="38" fillId="7" borderId="8" xfId="1" applyFont="1" applyFill="1" applyBorder="1"/>
    <xf numFmtId="0" fontId="38" fillId="7" borderId="31" xfId="1" applyFont="1" applyFill="1" applyBorder="1"/>
    <xf numFmtId="1" fontId="43" fillId="7" borderId="8" xfId="1" applyNumberFormat="1" applyFont="1" applyFill="1" applyBorder="1" applyAlignment="1">
      <alignment horizontal="right"/>
    </xf>
    <xf numFmtId="0" fontId="38" fillId="7" borderId="31" xfId="1" applyFont="1" applyFill="1" applyBorder="1" applyAlignment="1">
      <alignment horizontal="left"/>
    </xf>
    <xf numFmtId="166" fontId="43" fillId="7" borderId="8" xfId="2" applyNumberFormat="1" applyFont="1" applyFill="1" applyBorder="1" applyAlignment="1">
      <alignment horizontal="right"/>
    </xf>
    <xf numFmtId="0" fontId="38" fillId="7" borderId="9" xfId="1" applyFont="1" applyFill="1" applyBorder="1" applyAlignment="1">
      <alignment horizontal="left"/>
    </xf>
    <xf numFmtId="0" fontId="38" fillId="7" borderId="29" xfId="1" applyFont="1" applyFill="1" applyBorder="1"/>
    <xf numFmtId="1" fontId="38" fillId="7" borderId="0" xfId="1" applyNumberFormat="1" applyFont="1" applyFill="1" applyAlignment="1">
      <alignment horizontal="right"/>
    </xf>
    <xf numFmtId="0" fontId="38" fillId="7" borderId="29" xfId="1" applyFont="1" applyFill="1" applyBorder="1" applyAlignment="1">
      <alignment horizontal="left"/>
    </xf>
    <xf numFmtId="166" fontId="38" fillId="7" borderId="0" xfId="2" applyNumberFormat="1" applyFont="1" applyFill="1" applyBorder="1" applyAlignment="1">
      <alignment horizontal="right"/>
    </xf>
    <xf numFmtId="0" fontId="38" fillId="7" borderId="9" xfId="1" applyFont="1" applyFill="1" applyBorder="1" applyAlignment="1">
      <alignment horizontal="left" indent="2"/>
    </xf>
    <xf numFmtId="168" fontId="38" fillId="7" borderId="0" xfId="1" applyNumberFormat="1" applyFont="1" applyFill="1" applyAlignment="1">
      <alignment horizontal="right"/>
    </xf>
    <xf numFmtId="165" fontId="38" fillId="7" borderId="0" xfId="1" applyNumberFormat="1" applyFont="1" applyFill="1" applyAlignment="1">
      <alignment horizontal="right"/>
    </xf>
    <xf numFmtId="2" fontId="38" fillId="8" borderId="0" xfId="1" applyNumberFormat="1" applyFont="1" applyFill="1"/>
    <xf numFmtId="0" fontId="38" fillId="7" borderId="26" xfId="1" applyFont="1" applyFill="1" applyBorder="1" applyAlignment="1">
      <alignment horizontal="left" indent="1"/>
    </xf>
    <xf numFmtId="0" fontId="38" fillId="7" borderId="4" xfId="1" applyFont="1" applyFill="1" applyBorder="1"/>
    <xf numFmtId="0" fontId="38" fillId="7" borderId="27" xfId="1" applyFont="1" applyFill="1" applyBorder="1"/>
    <xf numFmtId="0" fontId="38" fillId="7" borderId="4" xfId="1" applyFont="1" applyFill="1" applyBorder="1" applyAlignment="1">
      <alignment horizontal="right"/>
    </xf>
    <xf numFmtId="0" fontId="38" fillId="7" borderId="27" xfId="1" applyFont="1" applyFill="1" applyBorder="1" applyAlignment="1">
      <alignment horizontal="left"/>
    </xf>
    <xf numFmtId="1" fontId="43" fillId="7" borderId="9" xfId="1" applyNumberFormat="1" applyFont="1" applyFill="1" applyBorder="1" applyAlignment="1">
      <alignment horizontal="left"/>
    </xf>
    <xf numFmtId="2" fontId="43" fillId="7" borderId="0" xfId="1" applyNumberFormat="1" applyFont="1" applyFill="1" applyAlignment="1">
      <alignment horizontal="right"/>
    </xf>
    <xf numFmtId="0" fontId="38" fillId="7" borderId="0" xfId="1" applyFont="1" applyFill="1" applyAlignment="1">
      <alignment horizontal="left"/>
    </xf>
    <xf numFmtId="0" fontId="38" fillId="7" borderId="9" xfId="1" applyFont="1" applyFill="1" applyBorder="1" applyAlignment="1">
      <alignment horizontal="left" indent="1"/>
    </xf>
    <xf numFmtId="165" fontId="43" fillId="7" borderId="0" xfId="1" applyNumberFormat="1" applyFont="1" applyFill="1" applyAlignment="1">
      <alignment horizontal="right"/>
    </xf>
    <xf numFmtId="0" fontId="46" fillId="7" borderId="26" xfId="1" applyFont="1" applyFill="1" applyBorder="1" applyAlignment="1">
      <alignment horizontal="left" indent="1"/>
    </xf>
    <xf numFmtId="0" fontId="46" fillId="7" borderId="4" xfId="1" applyFont="1" applyFill="1" applyBorder="1"/>
    <xf numFmtId="0" fontId="46" fillId="7" borderId="0" xfId="1" applyFont="1" applyFill="1" applyAlignment="1">
      <alignment horizontal="left"/>
    </xf>
    <xf numFmtId="165" fontId="38" fillId="8" borderId="0" xfId="1" applyNumberFormat="1" applyFont="1" applyFill="1"/>
    <xf numFmtId="1" fontId="43" fillId="7" borderId="0" xfId="1" applyNumberFormat="1" applyFont="1" applyFill="1" applyAlignment="1">
      <alignment horizontal="right"/>
    </xf>
    <xf numFmtId="1" fontId="38" fillId="7" borderId="26" xfId="1" applyNumberFormat="1" applyFont="1" applyFill="1" applyBorder="1" applyAlignment="1">
      <alignment horizontal="left"/>
    </xf>
    <xf numFmtId="1" fontId="47" fillId="7" borderId="4" xfId="1" applyNumberFormat="1" applyFont="1" applyFill="1" applyBorder="1" applyAlignment="1">
      <alignment horizontal="right"/>
    </xf>
    <xf numFmtId="0" fontId="47" fillId="7" borderId="27" xfId="1" applyFont="1" applyFill="1" applyBorder="1" applyAlignment="1">
      <alignment horizontal="left"/>
    </xf>
    <xf numFmtId="0" fontId="38" fillId="7" borderId="66" xfId="1" applyFont="1" applyFill="1" applyBorder="1" applyAlignment="1">
      <alignment horizontal="left"/>
    </xf>
    <xf numFmtId="9" fontId="38" fillId="8" borderId="0" xfId="3" applyFont="1" applyFill="1" applyBorder="1"/>
    <xf numFmtId="1" fontId="43" fillId="8" borderId="0" xfId="1" applyNumberFormat="1" applyFont="1" applyFill="1"/>
    <xf numFmtId="1" fontId="38" fillId="7" borderId="21" xfId="1" applyNumberFormat="1" applyFont="1" applyFill="1" applyBorder="1" applyAlignment="1">
      <alignment horizontal="left" indent="1"/>
    </xf>
    <xf numFmtId="1" fontId="38" fillId="7" borderId="22" xfId="1" applyNumberFormat="1" applyFont="1" applyFill="1" applyBorder="1" applyAlignment="1">
      <alignment horizontal="center"/>
    </xf>
    <xf numFmtId="1" fontId="38" fillId="7" borderId="28" xfId="1" applyNumberFormat="1" applyFont="1" applyFill="1" applyBorder="1" applyAlignment="1">
      <alignment horizontal="center"/>
    </xf>
    <xf numFmtId="0" fontId="38" fillId="7" borderId="22" xfId="1" applyFont="1" applyFill="1" applyBorder="1" applyAlignment="1">
      <alignment horizontal="left"/>
    </xf>
    <xf numFmtId="0" fontId="38" fillId="7" borderId="28" xfId="1" applyFont="1" applyFill="1" applyBorder="1"/>
    <xf numFmtId="0" fontId="38" fillId="7" borderId="22" xfId="1" applyFont="1" applyFill="1" applyBorder="1"/>
    <xf numFmtId="0" fontId="38" fillId="8" borderId="28" xfId="1" applyFont="1" applyFill="1" applyBorder="1"/>
    <xf numFmtId="0" fontId="48" fillId="5" borderId="23" xfId="1" applyFont="1" applyFill="1" applyBorder="1" applyAlignment="1">
      <alignment vertical="center"/>
    </xf>
    <xf numFmtId="0" fontId="38" fillId="5" borderId="24" xfId="1" applyFont="1" applyFill="1" applyBorder="1" applyAlignment="1">
      <alignment vertical="center"/>
    </xf>
    <xf numFmtId="0" fontId="38" fillId="5" borderId="25" xfId="1" applyFont="1" applyFill="1" applyBorder="1" applyAlignment="1">
      <alignment vertical="center"/>
    </xf>
    <xf numFmtId="0" fontId="38" fillId="0" borderId="26" xfId="1" applyFont="1" applyBorder="1"/>
    <xf numFmtId="0" fontId="38" fillId="0" borderId="4" xfId="1" applyFont="1" applyBorder="1"/>
    <xf numFmtId="0" fontId="38" fillId="0" borderId="27" xfId="1" applyFont="1" applyBorder="1"/>
    <xf numFmtId="0" fontId="38" fillId="0" borderId="21" xfId="1" applyFont="1" applyBorder="1"/>
    <xf numFmtId="0" fontId="38" fillId="0" borderId="22" xfId="1" applyFont="1" applyBorder="1"/>
    <xf numFmtId="0" fontId="38" fillId="0" borderId="28" xfId="1" applyFont="1" applyBorder="1"/>
    <xf numFmtId="0" fontId="49" fillId="0" borderId="0" xfId="1" applyFont="1"/>
    <xf numFmtId="0" fontId="43" fillId="5" borderId="23" xfId="1" applyFont="1" applyFill="1" applyBorder="1" applyAlignment="1">
      <alignment vertical="center"/>
    </xf>
    <xf numFmtId="0" fontId="43" fillId="0" borderId="9" xfId="1" applyFont="1" applyBorder="1"/>
    <xf numFmtId="0" fontId="38" fillId="0" borderId="9" xfId="1" applyFont="1" applyBorder="1"/>
    <xf numFmtId="0" fontId="38" fillId="0" borderId="29" xfId="1" applyFont="1" applyBorder="1"/>
    <xf numFmtId="0" fontId="43" fillId="0" borderId="54" xfId="1" applyFont="1" applyBorder="1" applyAlignment="1">
      <alignment horizontal="center" vertical="center" wrapText="1"/>
    </xf>
    <xf numFmtId="0" fontId="43" fillId="0" borderId="55" xfId="1" applyFont="1" applyBorder="1" applyAlignment="1">
      <alignment horizontal="center"/>
    </xf>
    <xf numFmtId="0" fontId="38" fillId="0" borderId="38" xfId="1" applyFont="1" applyBorder="1"/>
    <xf numFmtId="0" fontId="51" fillId="0" borderId="0" xfId="0" applyFont="1" applyAlignment="1">
      <alignment horizontal="left" vertical="center" readingOrder="1"/>
    </xf>
    <xf numFmtId="0" fontId="51" fillId="0" borderId="9" xfId="0" quotePrefix="1" applyFont="1" applyBorder="1" applyAlignment="1">
      <alignment horizontal="left" vertical="center" readingOrder="1"/>
    </xf>
    <xf numFmtId="0" fontId="52" fillId="0" borderId="22" xfId="1" applyFont="1" applyBorder="1" applyAlignment="1">
      <alignment horizontal="left"/>
    </xf>
    <xf numFmtId="0" fontId="52" fillId="0" borderId="21" xfId="1" applyFont="1" applyBorder="1" applyAlignment="1">
      <alignment horizontal="left"/>
    </xf>
    <xf numFmtId="0" fontId="52" fillId="0" borderId="0" xfId="1" applyFont="1" applyAlignment="1">
      <alignment wrapText="1"/>
    </xf>
    <xf numFmtId="0" fontId="48" fillId="5" borderId="9" xfId="1" applyFont="1" applyFill="1" applyBorder="1" applyAlignment="1">
      <alignment vertical="center"/>
    </xf>
    <xf numFmtId="0" fontId="38" fillId="5" borderId="0" xfId="1" applyFont="1" applyFill="1" applyAlignment="1">
      <alignment vertical="center"/>
    </xf>
    <xf numFmtId="0" fontId="43" fillId="0" borderId="0" xfId="1" applyFont="1"/>
    <xf numFmtId="165" fontId="53" fillId="0" borderId="7" xfId="1" applyNumberFormat="1" applyFont="1" applyBorder="1"/>
    <xf numFmtId="0" fontId="38" fillId="0" borderId="8" xfId="1" applyFont="1" applyBorder="1"/>
    <xf numFmtId="0" fontId="38" fillId="0" borderId="31" xfId="1" applyFont="1" applyBorder="1"/>
    <xf numFmtId="0" fontId="53" fillId="0" borderId="9" xfId="1" applyFont="1" applyBorder="1"/>
    <xf numFmtId="0" fontId="38" fillId="6" borderId="37" xfId="1" applyFont="1" applyFill="1" applyBorder="1"/>
    <xf numFmtId="0" fontId="38" fillId="6" borderId="1" xfId="1" applyFont="1" applyFill="1" applyBorder="1"/>
    <xf numFmtId="0" fontId="38" fillId="6" borderId="9" xfId="1" applyFont="1" applyFill="1" applyBorder="1"/>
    <xf numFmtId="0" fontId="38" fillId="6" borderId="0" xfId="1" applyFont="1" applyFill="1"/>
    <xf numFmtId="0" fontId="38" fillId="6" borderId="26" xfId="1" applyFont="1" applyFill="1" applyBorder="1"/>
    <xf numFmtId="0" fontId="38" fillId="6" borderId="4" xfId="1" applyFont="1" applyFill="1" applyBorder="1"/>
    <xf numFmtId="165" fontId="53" fillId="0" borderId="21" xfId="1" applyNumberFormat="1" applyFont="1" applyBorder="1"/>
    <xf numFmtId="0" fontId="38" fillId="0" borderId="9" xfId="1" applyFont="1" applyBorder="1" applyAlignment="1">
      <alignment horizontal="left" indent="1"/>
    </xf>
    <xf numFmtId="0" fontId="38" fillId="0" borderId="37" xfId="1" applyFont="1" applyBorder="1"/>
    <xf numFmtId="0" fontId="38" fillId="0" borderId="1" xfId="1" applyFont="1" applyBorder="1"/>
    <xf numFmtId="0" fontId="38" fillId="5" borderId="24" xfId="1" applyFont="1" applyFill="1" applyBorder="1"/>
    <xf numFmtId="0" fontId="38" fillId="5" borderId="25" xfId="1" applyFont="1" applyFill="1" applyBorder="1"/>
    <xf numFmtId="0" fontId="38" fillId="0" borderId="0" xfId="1" applyFont="1" applyAlignment="1">
      <alignment horizontal="left"/>
    </xf>
    <xf numFmtId="0" fontId="55" fillId="7" borderId="0" xfId="1" applyFont="1" applyFill="1"/>
    <xf numFmtId="165" fontId="46" fillId="7" borderId="4" xfId="1" applyNumberFormat="1" applyFont="1" applyFill="1" applyBorder="1" applyAlignment="1">
      <alignment horizontal="right"/>
    </xf>
    <xf numFmtId="0" fontId="46" fillId="7" borderId="27" xfId="1" applyFont="1" applyFill="1" applyBorder="1" applyAlignment="1">
      <alignment horizontal="left"/>
    </xf>
    <xf numFmtId="1" fontId="43" fillId="7" borderId="37" xfId="1" applyNumberFormat="1" applyFont="1" applyFill="1" applyBorder="1" applyAlignment="1">
      <alignment horizontal="right"/>
    </xf>
    <xf numFmtId="0" fontId="38" fillId="7" borderId="0" xfId="1" quotePrefix="1" applyFont="1" applyFill="1"/>
    <xf numFmtId="1" fontId="43" fillId="0" borderId="21" xfId="1" applyNumberFormat="1" applyFont="1" applyBorder="1" applyAlignment="1">
      <alignment horizontal="right"/>
    </xf>
    <xf numFmtId="0" fontId="43" fillId="11" borderId="24" xfId="1" applyFont="1" applyFill="1" applyBorder="1" applyAlignment="1">
      <alignment horizontal="left" vertical="center"/>
    </xf>
    <xf numFmtId="0" fontId="43" fillId="11" borderId="24" xfId="1" applyFont="1" applyFill="1" applyBorder="1" applyAlignment="1">
      <alignment horizontal="right" vertical="center"/>
    </xf>
    <xf numFmtId="0" fontId="38" fillId="11" borderId="25" xfId="1" applyFont="1" applyFill="1" applyBorder="1" applyAlignment="1">
      <alignment horizontal="right" vertical="center"/>
    </xf>
    <xf numFmtId="0" fontId="38" fillId="11" borderId="24" xfId="1" applyFont="1" applyFill="1" applyBorder="1" applyAlignment="1">
      <alignment vertical="center"/>
    </xf>
    <xf numFmtId="1" fontId="38" fillId="11" borderId="24" xfId="1" applyNumberFormat="1" applyFont="1" applyFill="1" applyBorder="1" applyAlignment="1">
      <alignment horizontal="right" vertical="center"/>
    </xf>
    <xf numFmtId="0" fontId="35" fillId="11" borderId="25" xfId="1" applyFont="1" applyFill="1" applyBorder="1" applyAlignment="1">
      <alignment vertical="center"/>
    </xf>
    <xf numFmtId="0" fontId="39" fillId="11" borderId="23" xfId="1" applyFont="1" applyFill="1" applyBorder="1" applyAlignment="1">
      <alignment vertical="center"/>
    </xf>
    <xf numFmtId="0" fontId="39" fillId="11" borderId="23" xfId="1" applyFont="1" applyFill="1" applyBorder="1" applyAlignment="1">
      <alignment horizontal="left" vertical="center"/>
    </xf>
    <xf numFmtId="0" fontId="56" fillId="8" borderId="0" xfId="1" quotePrefix="1" applyFont="1" applyFill="1"/>
    <xf numFmtId="0" fontId="57" fillId="0" borderId="0" xfId="1" quotePrefix="1" applyFont="1" applyAlignment="1">
      <alignment horizontal="left" vertical="top"/>
    </xf>
    <xf numFmtId="0" fontId="57" fillId="0" borderId="0" xfId="1" quotePrefix="1" applyFont="1" applyAlignment="1">
      <alignment horizontal="left" vertical="top" wrapText="1"/>
    </xf>
    <xf numFmtId="0" fontId="57" fillId="0" borderId="0" xfId="1" applyFont="1"/>
    <xf numFmtId="0" fontId="38" fillId="0" borderId="8" xfId="1" quotePrefix="1" applyFont="1" applyBorder="1" applyAlignment="1">
      <alignment horizontal="left" vertical="top" wrapText="1"/>
    </xf>
    <xf numFmtId="0" fontId="45" fillId="0" borderId="37" xfId="1" applyFont="1" applyBorder="1" applyAlignment="1">
      <alignment horizontal="center" vertical="center"/>
    </xf>
    <xf numFmtId="0" fontId="45" fillId="0" borderId="1" xfId="1" applyFont="1" applyBorder="1" applyAlignment="1">
      <alignment horizontal="center" vertical="center"/>
    </xf>
    <xf numFmtId="0" fontId="45" fillId="0" borderId="66" xfId="1" applyFont="1" applyBorder="1" applyAlignment="1">
      <alignment horizontal="center" vertical="center"/>
    </xf>
    <xf numFmtId="0" fontId="45" fillId="0" borderId="9" xfId="1" applyFont="1" applyBorder="1" applyAlignment="1">
      <alignment horizontal="center" vertical="center"/>
    </xf>
    <xf numFmtId="0" fontId="45" fillId="0" borderId="0" xfId="1" applyFont="1" applyAlignment="1">
      <alignment horizontal="center" vertical="center"/>
    </xf>
    <xf numFmtId="0" fontId="45" fillId="0" borderId="29" xfId="1" applyFont="1" applyBorder="1" applyAlignment="1">
      <alignment horizontal="center" vertical="center"/>
    </xf>
    <xf numFmtId="0" fontId="45" fillId="0" borderId="21" xfId="1" applyFont="1" applyBorder="1" applyAlignment="1">
      <alignment horizontal="center" vertical="center"/>
    </xf>
    <xf numFmtId="0" fontId="45" fillId="0" borderId="22" xfId="1" applyFont="1" applyBorder="1" applyAlignment="1">
      <alignment horizontal="center" vertical="center"/>
    </xf>
    <xf numFmtId="0" fontId="45" fillId="0" borderId="28" xfId="1" applyFont="1" applyBorder="1" applyAlignment="1">
      <alignment horizontal="center" vertical="center"/>
    </xf>
    <xf numFmtId="0" fontId="57" fillId="0" borderId="0" xfId="1" quotePrefix="1" applyFont="1" applyAlignment="1">
      <alignment horizontal="left" vertical="top" wrapText="1"/>
    </xf>
    <xf numFmtId="0" fontId="2" fillId="0" borderId="8" xfId="1" quotePrefix="1" applyFont="1" applyBorder="1" applyAlignment="1">
      <alignment horizontal="left" vertical="top" wrapText="1"/>
    </xf>
    <xf numFmtId="0" fontId="0" fillId="0" borderId="32" xfId="0" applyBorder="1"/>
  </cellXfs>
  <cellStyles count="4">
    <cellStyle name="Comma" xfId="2" builtinId="3"/>
    <cellStyle name="Normal" xfId="0" builtinId="0"/>
    <cellStyle name="Normale 3 2" xfId="1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200025</xdr:colOff>
      <xdr:row>22</xdr:row>
      <xdr:rowOff>9525</xdr:rowOff>
    </xdr:from>
    <xdr:to>
      <xdr:col>10</xdr:col>
      <xdr:colOff>276225</xdr:colOff>
      <xdr:row>23</xdr:row>
      <xdr:rowOff>27971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962650" y="1714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8</xdr:col>
      <xdr:colOff>154517</xdr:colOff>
      <xdr:row>70</xdr:row>
      <xdr:rowOff>104774</xdr:rowOff>
    </xdr:from>
    <xdr:to>
      <xdr:col>8</xdr:col>
      <xdr:colOff>762000</xdr:colOff>
      <xdr:row>70</xdr:row>
      <xdr:rowOff>105833</xdr:rowOff>
    </xdr:to>
    <xdr:sp macro="" textlink="">
      <xdr:nvSpPr>
        <xdr:cNvPr id="30" name="Line 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ShapeType="1"/>
        </xdr:cNvSpPr>
      </xdr:nvSpPr>
      <xdr:spPr bwMode="auto">
        <a:xfrm>
          <a:off x="4864100" y="13979524"/>
          <a:ext cx="607483" cy="1059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495301</xdr:colOff>
      <xdr:row>70</xdr:row>
      <xdr:rowOff>104774</xdr:rowOff>
    </xdr:from>
    <xdr:to>
      <xdr:col>7</xdr:col>
      <xdr:colOff>371476</xdr:colOff>
      <xdr:row>72</xdr:row>
      <xdr:rowOff>95249</xdr:rowOff>
    </xdr:to>
    <xdr:sp macro="" textlink="">
      <xdr:nvSpPr>
        <xdr:cNvPr id="34" name="Line 6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ShapeType="1"/>
        </xdr:cNvSpPr>
      </xdr:nvSpPr>
      <xdr:spPr bwMode="auto">
        <a:xfrm flipV="1">
          <a:off x="770468" y="15122524"/>
          <a:ext cx="3442758" cy="37147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485775</xdr:colOff>
      <xdr:row>72</xdr:row>
      <xdr:rowOff>47625</xdr:rowOff>
    </xdr:from>
    <xdr:to>
      <xdr:col>4</xdr:col>
      <xdr:colOff>485775</xdr:colOff>
      <xdr:row>73</xdr:row>
      <xdr:rowOff>57150</xdr:rowOff>
    </xdr:to>
    <xdr:sp macro="" textlink="">
      <xdr:nvSpPr>
        <xdr:cNvPr id="38" name="Line 1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ShapeType="1"/>
        </xdr:cNvSpPr>
      </xdr:nvSpPr>
      <xdr:spPr bwMode="auto">
        <a:xfrm>
          <a:off x="1895475" y="119538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70</xdr:row>
      <xdr:rowOff>0</xdr:rowOff>
    </xdr:from>
    <xdr:to>
      <xdr:col>7</xdr:col>
      <xdr:colOff>371475</xdr:colOff>
      <xdr:row>73</xdr:row>
      <xdr:rowOff>114300</xdr:rowOff>
    </xdr:to>
    <xdr:sp macro="" textlink="">
      <xdr:nvSpPr>
        <xdr:cNvPr id="39" name="Line 1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ShapeType="1"/>
        </xdr:cNvSpPr>
      </xdr:nvSpPr>
      <xdr:spPr bwMode="auto">
        <a:xfrm>
          <a:off x="4276725" y="9553575"/>
          <a:ext cx="0" cy="600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514350</xdr:colOff>
      <xdr:row>73</xdr:row>
      <xdr:rowOff>47625</xdr:rowOff>
    </xdr:from>
    <xdr:to>
      <xdr:col>7</xdr:col>
      <xdr:colOff>371475</xdr:colOff>
      <xdr:row>73</xdr:row>
      <xdr:rowOff>47625</xdr:rowOff>
    </xdr:to>
    <xdr:sp macro="" textlink="">
      <xdr:nvSpPr>
        <xdr:cNvPr id="41" name="Line 13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ShapeType="1"/>
        </xdr:cNvSpPr>
      </xdr:nvSpPr>
      <xdr:spPr bwMode="auto">
        <a:xfrm>
          <a:off x="1924050" y="12115800"/>
          <a:ext cx="2552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47625</xdr:colOff>
      <xdr:row>73</xdr:row>
      <xdr:rowOff>66675</xdr:rowOff>
    </xdr:from>
    <xdr:ext cx="374846" cy="179601"/>
    <xdr:sp macro="" textlink="">
      <xdr:nvSpPr>
        <xdr:cNvPr id="42" name="Text Box 14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190750" y="10106025"/>
          <a:ext cx="374846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100 m</a:t>
          </a:r>
          <a:endParaRPr lang="en-US"/>
        </a:p>
      </xdr:txBody>
    </xdr:sp>
    <xdr:clientData/>
  </xdr:oneCellAnchor>
  <xdr:oneCellAnchor>
    <xdr:from>
      <xdr:col>4</xdr:col>
      <xdr:colOff>114300</xdr:colOff>
      <xdr:row>71</xdr:row>
      <xdr:rowOff>38100</xdr:rowOff>
    </xdr:from>
    <xdr:ext cx="232243" cy="179601"/>
    <xdr:sp macro="" textlink="">
      <xdr:nvSpPr>
        <xdr:cNvPr id="46" name="Text Box 18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1524000" y="11782425"/>
          <a:ext cx="23224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0 m</a:t>
          </a:r>
          <a:endParaRPr lang="en-US"/>
        </a:p>
      </xdr:txBody>
    </xdr:sp>
    <xdr:clientData/>
  </xdr:oneCellAnchor>
  <xdr:oneCellAnchor>
    <xdr:from>
      <xdr:col>7</xdr:col>
      <xdr:colOff>381000</xdr:colOff>
      <xdr:row>71</xdr:row>
      <xdr:rowOff>95250</xdr:rowOff>
    </xdr:from>
    <xdr:ext cx="232243" cy="179601"/>
    <xdr:sp macro="" textlink="">
      <xdr:nvSpPr>
        <xdr:cNvPr id="47" name="Text Box 19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4222750" y="14224000"/>
          <a:ext cx="23224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 m</a:t>
          </a:r>
          <a:endParaRPr lang="en-US"/>
        </a:p>
      </xdr:txBody>
    </xdr:sp>
    <xdr:clientData/>
  </xdr:oneCellAnchor>
  <xdr:twoCellAnchor>
    <xdr:from>
      <xdr:col>4</xdr:col>
      <xdr:colOff>133350</xdr:colOff>
      <xdr:row>72</xdr:row>
      <xdr:rowOff>95250</xdr:rowOff>
    </xdr:from>
    <xdr:to>
      <xdr:col>4</xdr:col>
      <xdr:colOff>1672166</xdr:colOff>
      <xdr:row>72</xdr:row>
      <xdr:rowOff>95250</xdr:rowOff>
    </xdr:to>
    <xdr:sp macro="" textlink="">
      <xdr:nvSpPr>
        <xdr:cNvPr id="48" name="Line 20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ShapeType="1"/>
        </xdr:cNvSpPr>
      </xdr:nvSpPr>
      <xdr:spPr bwMode="auto">
        <a:xfrm>
          <a:off x="408517" y="15494000"/>
          <a:ext cx="1538816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1661583</xdr:colOff>
      <xdr:row>70</xdr:row>
      <xdr:rowOff>85724</xdr:rowOff>
    </xdr:from>
    <xdr:to>
      <xdr:col>5</xdr:col>
      <xdr:colOff>485775</xdr:colOff>
      <xdr:row>72</xdr:row>
      <xdr:rowOff>95249</xdr:rowOff>
    </xdr:to>
    <xdr:sp macro="" textlink="">
      <xdr:nvSpPr>
        <xdr:cNvPr id="49" name="Line 2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ShapeType="1"/>
        </xdr:cNvSpPr>
      </xdr:nvSpPr>
      <xdr:spPr bwMode="auto">
        <a:xfrm flipV="1">
          <a:off x="1936750" y="15103474"/>
          <a:ext cx="612775" cy="39052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457200</xdr:colOff>
      <xdr:row>70</xdr:row>
      <xdr:rowOff>95250</xdr:rowOff>
    </xdr:from>
    <xdr:to>
      <xdr:col>7</xdr:col>
      <xdr:colOff>485775</xdr:colOff>
      <xdr:row>70</xdr:row>
      <xdr:rowOff>95250</xdr:rowOff>
    </xdr:to>
    <xdr:sp macro="" textlink="">
      <xdr:nvSpPr>
        <xdr:cNvPr id="50" name="Line 22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ShapeType="1"/>
        </xdr:cNvSpPr>
      </xdr:nvSpPr>
      <xdr:spPr bwMode="auto">
        <a:xfrm>
          <a:off x="2600325" y="9648825"/>
          <a:ext cx="1790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158751</xdr:colOff>
      <xdr:row>71</xdr:row>
      <xdr:rowOff>119591</xdr:rowOff>
    </xdr:from>
    <xdr:to>
      <xdr:col>8</xdr:col>
      <xdr:colOff>766234</xdr:colOff>
      <xdr:row>71</xdr:row>
      <xdr:rowOff>120650</xdr:rowOff>
    </xdr:to>
    <xdr:sp macro="" textlink="">
      <xdr:nvSpPr>
        <xdr:cNvPr id="24" name="Line 2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ShapeType="1"/>
        </xdr:cNvSpPr>
      </xdr:nvSpPr>
      <xdr:spPr bwMode="auto">
        <a:xfrm>
          <a:off x="4868334" y="14184841"/>
          <a:ext cx="607483" cy="1059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200025</xdr:colOff>
      <xdr:row>8</xdr:row>
      <xdr:rowOff>9525</xdr:rowOff>
    </xdr:from>
    <xdr:to>
      <xdr:col>15</xdr:col>
      <xdr:colOff>276225</xdr:colOff>
      <xdr:row>9</xdr:row>
      <xdr:rowOff>15875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0306050" y="19526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228600</xdr:colOff>
      <xdr:row>59</xdr:row>
      <xdr:rowOff>104775</xdr:rowOff>
    </xdr:from>
    <xdr:to>
      <xdr:col>5</xdr:col>
      <xdr:colOff>9525</xdr:colOff>
      <xdr:row>59</xdr:row>
      <xdr:rowOff>104775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 bwMode="auto">
        <a:xfrm>
          <a:off x="504825" y="12668250"/>
          <a:ext cx="15716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57</xdr:row>
      <xdr:rowOff>95250</xdr:rowOff>
    </xdr:from>
    <xdr:to>
      <xdr:col>5</xdr:col>
      <xdr:colOff>619125</xdr:colOff>
      <xdr:row>59</xdr:row>
      <xdr:rowOff>104775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 bwMode="auto">
        <a:xfrm flipV="1">
          <a:off x="2066925" y="12277725"/>
          <a:ext cx="619125" cy="39052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619125</xdr:colOff>
      <xdr:row>57</xdr:row>
      <xdr:rowOff>95250</xdr:rowOff>
    </xdr:from>
    <xdr:to>
      <xdr:col>8</xdr:col>
      <xdr:colOff>38100</xdr:colOff>
      <xdr:row>57</xdr:row>
      <xdr:rowOff>95250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ShapeType="1"/>
        </xdr:cNvSpPr>
      </xdr:nvSpPr>
      <xdr:spPr bwMode="auto">
        <a:xfrm>
          <a:off x="2686050" y="12277725"/>
          <a:ext cx="20669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495301</xdr:colOff>
      <xdr:row>66</xdr:row>
      <xdr:rowOff>104774</xdr:rowOff>
    </xdr:from>
    <xdr:to>
      <xdr:col>7</xdr:col>
      <xdr:colOff>371476</xdr:colOff>
      <xdr:row>68</xdr:row>
      <xdr:rowOff>95249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ShapeType="1"/>
        </xdr:cNvSpPr>
      </xdr:nvSpPr>
      <xdr:spPr bwMode="auto">
        <a:xfrm flipV="1">
          <a:off x="771526" y="14001749"/>
          <a:ext cx="3448050" cy="37147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247650</xdr:colOff>
      <xdr:row>66</xdr:row>
      <xdr:rowOff>85725</xdr:rowOff>
    </xdr:from>
    <xdr:to>
      <xdr:col>8</xdr:col>
      <xdr:colOff>28575</xdr:colOff>
      <xdr:row>66</xdr:row>
      <xdr:rowOff>85725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ShapeType="1"/>
        </xdr:cNvSpPr>
      </xdr:nvSpPr>
      <xdr:spPr bwMode="auto">
        <a:xfrm flipV="1">
          <a:off x="4095750" y="13982700"/>
          <a:ext cx="647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514350</xdr:colOff>
      <xdr:row>59</xdr:row>
      <xdr:rowOff>47625</xdr:rowOff>
    </xdr:from>
    <xdr:to>
      <xdr:col>4</xdr:col>
      <xdr:colOff>514350</xdr:colOff>
      <xdr:row>60</xdr:row>
      <xdr:rowOff>57150</xdr:rowOff>
    </xdr:to>
    <xdr:sp macro="" textlink="">
      <xdr:nvSpPr>
        <xdr:cNvPr id="8" name="Line 8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ShapeType="1"/>
        </xdr:cNvSpPr>
      </xdr:nvSpPr>
      <xdr:spPr bwMode="auto">
        <a:xfrm>
          <a:off x="790575" y="12611100"/>
          <a:ext cx="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390525</xdr:colOff>
      <xdr:row>57</xdr:row>
      <xdr:rowOff>38100</xdr:rowOff>
    </xdr:from>
    <xdr:to>
      <xdr:col>7</xdr:col>
      <xdr:colOff>390525</xdr:colOff>
      <xdr:row>60</xdr:row>
      <xdr:rowOff>152400</xdr:rowOff>
    </xdr:to>
    <xdr:sp macro="" textlink="">
      <xdr:nvSpPr>
        <xdr:cNvPr id="9" name="Line 9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ShapeType="1"/>
        </xdr:cNvSpPr>
      </xdr:nvSpPr>
      <xdr:spPr bwMode="auto">
        <a:xfrm>
          <a:off x="4238625" y="12220575"/>
          <a:ext cx="0" cy="68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485775</xdr:colOff>
      <xdr:row>68</xdr:row>
      <xdr:rowOff>47625</xdr:rowOff>
    </xdr:from>
    <xdr:to>
      <xdr:col>4</xdr:col>
      <xdr:colOff>485775</xdr:colOff>
      <xdr:row>69</xdr:row>
      <xdr:rowOff>57150</xdr:rowOff>
    </xdr:to>
    <xdr:sp macro="" textlink="">
      <xdr:nvSpPr>
        <xdr:cNvPr id="10" name="Lin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ShapeType="1"/>
        </xdr:cNvSpPr>
      </xdr:nvSpPr>
      <xdr:spPr bwMode="auto">
        <a:xfrm>
          <a:off x="762000" y="14325600"/>
          <a:ext cx="0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371475</xdr:colOff>
      <xdr:row>66</xdr:row>
      <xdr:rowOff>0</xdr:rowOff>
    </xdr:from>
    <xdr:to>
      <xdr:col>7</xdr:col>
      <xdr:colOff>371475</xdr:colOff>
      <xdr:row>69</xdr:row>
      <xdr:rowOff>114300</xdr:rowOff>
    </xdr:to>
    <xdr:sp macro="" textlink="">
      <xdr:nvSpPr>
        <xdr:cNvPr id="11" name="Lin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>
          <a:off x="4219575" y="13896975"/>
          <a:ext cx="0" cy="68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495301</xdr:colOff>
      <xdr:row>60</xdr:row>
      <xdr:rowOff>85723</xdr:rowOff>
    </xdr:from>
    <xdr:to>
      <xdr:col>7</xdr:col>
      <xdr:colOff>371476</xdr:colOff>
      <xdr:row>60</xdr:row>
      <xdr:rowOff>85724</xdr:rowOff>
    </xdr:to>
    <xdr:sp macro="" textlink="">
      <xdr:nvSpPr>
        <xdr:cNvPr id="12" name="Line 1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ShapeType="1"/>
        </xdr:cNvSpPr>
      </xdr:nvSpPr>
      <xdr:spPr bwMode="auto">
        <a:xfrm flipV="1">
          <a:off x="771526" y="12839698"/>
          <a:ext cx="3448050" cy="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514350</xdr:colOff>
      <xdr:row>69</xdr:row>
      <xdr:rowOff>47625</xdr:rowOff>
    </xdr:from>
    <xdr:to>
      <xdr:col>7</xdr:col>
      <xdr:colOff>371475</xdr:colOff>
      <xdr:row>69</xdr:row>
      <xdr:rowOff>47625</xdr:rowOff>
    </xdr:to>
    <xdr:sp macro="" textlink="">
      <xdr:nvSpPr>
        <xdr:cNvPr id="13" name="Line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ShapeType="1"/>
        </xdr:cNvSpPr>
      </xdr:nvSpPr>
      <xdr:spPr bwMode="auto">
        <a:xfrm>
          <a:off x="790575" y="14516100"/>
          <a:ext cx="3429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47625</xdr:colOff>
      <xdr:row>69</xdr:row>
      <xdr:rowOff>66675</xdr:rowOff>
    </xdr:from>
    <xdr:ext cx="374846" cy="179601"/>
    <xdr:sp macro="" textlink="">
      <xdr:nvSpPr>
        <xdr:cNvPr id="14" name="Text Box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>
          <a:spLocks noChangeArrowheads="1"/>
        </xdr:cNvSpPr>
      </xdr:nvSpPr>
      <xdr:spPr bwMode="auto">
        <a:xfrm>
          <a:off x="2114550" y="14535150"/>
          <a:ext cx="374846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100 m</a:t>
          </a:r>
          <a:endParaRPr lang="en-US"/>
        </a:p>
      </xdr:txBody>
    </xdr:sp>
    <xdr:clientData/>
  </xdr:oneCellAnchor>
  <xdr:oneCellAnchor>
    <xdr:from>
      <xdr:col>5</xdr:col>
      <xdr:colOff>0</xdr:colOff>
      <xdr:row>60</xdr:row>
      <xdr:rowOff>133350</xdr:rowOff>
    </xdr:from>
    <xdr:ext cx="374846" cy="179601"/>
    <xdr:sp macro="" textlink="">
      <xdr:nvSpPr>
        <xdr:cNvPr id="15" name="Text Box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 bwMode="auto">
        <a:xfrm>
          <a:off x="2066925" y="12887325"/>
          <a:ext cx="374846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100 m</a:t>
          </a:r>
          <a:endParaRPr lang="en-US"/>
        </a:p>
      </xdr:txBody>
    </xdr:sp>
    <xdr:clientData/>
  </xdr:oneCellAnchor>
  <xdr:oneCellAnchor>
    <xdr:from>
      <xdr:col>4</xdr:col>
      <xdr:colOff>47625</xdr:colOff>
      <xdr:row>58</xdr:row>
      <xdr:rowOff>85725</xdr:rowOff>
    </xdr:from>
    <xdr:ext cx="232243" cy="179601"/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323850" y="12458700"/>
          <a:ext cx="23224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0 m</a:t>
          </a:r>
          <a:endParaRPr lang="en-US"/>
        </a:p>
      </xdr:txBody>
    </xdr:sp>
    <xdr:clientData/>
  </xdr:oneCellAnchor>
  <xdr:oneCellAnchor>
    <xdr:from>
      <xdr:col>7</xdr:col>
      <xdr:colOff>457200</xdr:colOff>
      <xdr:row>56</xdr:row>
      <xdr:rowOff>38100</xdr:rowOff>
    </xdr:from>
    <xdr:ext cx="232243" cy="179601"/>
    <xdr:sp macro="" textlink="">
      <xdr:nvSpPr>
        <xdr:cNvPr id="17" name="Text Box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>
          <a:spLocks noChangeArrowheads="1"/>
        </xdr:cNvSpPr>
      </xdr:nvSpPr>
      <xdr:spPr bwMode="auto">
        <a:xfrm>
          <a:off x="4305300" y="12030075"/>
          <a:ext cx="23224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 m</a:t>
          </a:r>
          <a:endParaRPr lang="en-US"/>
        </a:p>
      </xdr:txBody>
    </xdr:sp>
    <xdr:clientData/>
  </xdr:oneCellAnchor>
  <xdr:oneCellAnchor>
    <xdr:from>
      <xdr:col>4</xdr:col>
      <xdr:colOff>114300</xdr:colOff>
      <xdr:row>67</xdr:row>
      <xdr:rowOff>38100</xdr:rowOff>
    </xdr:from>
    <xdr:ext cx="232243" cy="179601"/>
    <xdr:sp macro="" textlink="">
      <xdr:nvSpPr>
        <xdr:cNvPr id="18" name="Text Box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>
          <a:spLocks noChangeArrowheads="1"/>
        </xdr:cNvSpPr>
      </xdr:nvSpPr>
      <xdr:spPr bwMode="auto">
        <a:xfrm>
          <a:off x="390525" y="14125575"/>
          <a:ext cx="23224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0 m</a:t>
          </a:r>
          <a:endParaRPr lang="en-US"/>
        </a:p>
      </xdr:txBody>
    </xdr:sp>
    <xdr:clientData/>
  </xdr:oneCellAnchor>
  <xdr:oneCellAnchor>
    <xdr:from>
      <xdr:col>7</xdr:col>
      <xdr:colOff>571500</xdr:colOff>
      <xdr:row>65</xdr:row>
      <xdr:rowOff>0</xdr:rowOff>
    </xdr:from>
    <xdr:ext cx="232243" cy="179601"/>
    <xdr:sp macro="" textlink="">
      <xdr:nvSpPr>
        <xdr:cNvPr id="19" name="Text Box 19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>
          <a:spLocks noChangeArrowheads="1"/>
        </xdr:cNvSpPr>
      </xdr:nvSpPr>
      <xdr:spPr bwMode="auto">
        <a:xfrm>
          <a:off x="4419600" y="13706475"/>
          <a:ext cx="232243" cy="179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 m</a:t>
          </a:r>
          <a:endParaRPr lang="en-US"/>
        </a:p>
      </xdr:txBody>
    </xdr:sp>
    <xdr:clientData/>
  </xdr:oneCellAnchor>
  <xdr:twoCellAnchor>
    <xdr:from>
      <xdr:col>4</xdr:col>
      <xdr:colOff>133350</xdr:colOff>
      <xdr:row>68</xdr:row>
      <xdr:rowOff>95250</xdr:rowOff>
    </xdr:from>
    <xdr:to>
      <xdr:col>4</xdr:col>
      <xdr:colOff>1057275</xdr:colOff>
      <xdr:row>68</xdr:row>
      <xdr:rowOff>95250</xdr:rowOff>
    </xdr:to>
    <xdr:sp macro="" textlink="">
      <xdr:nvSpPr>
        <xdr:cNvPr id="20" name="Lin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>
          <a:spLocks noChangeShapeType="1"/>
        </xdr:cNvSpPr>
      </xdr:nvSpPr>
      <xdr:spPr bwMode="auto">
        <a:xfrm>
          <a:off x="409575" y="14373225"/>
          <a:ext cx="9239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1038225</xdr:colOff>
      <xdr:row>66</xdr:row>
      <xdr:rowOff>85725</xdr:rowOff>
    </xdr:from>
    <xdr:to>
      <xdr:col>5</xdr:col>
      <xdr:colOff>485775</xdr:colOff>
      <xdr:row>68</xdr:row>
      <xdr:rowOff>95250</xdr:rowOff>
    </xdr:to>
    <xdr:sp macro="" textlink="">
      <xdr:nvSpPr>
        <xdr:cNvPr id="21" name="Line 21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>
          <a:spLocks noChangeShapeType="1"/>
        </xdr:cNvSpPr>
      </xdr:nvSpPr>
      <xdr:spPr bwMode="auto">
        <a:xfrm flipV="1">
          <a:off x="1314450" y="13982700"/>
          <a:ext cx="1238250" cy="39052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457200</xdr:colOff>
      <xdr:row>66</xdr:row>
      <xdr:rowOff>95250</xdr:rowOff>
    </xdr:from>
    <xdr:to>
      <xdr:col>7</xdr:col>
      <xdr:colOff>485775</xdr:colOff>
      <xdr:row>66</xdr:row>
      <xdr:rowOff>95250</xdr:rowOff>
    </xdr:to>
    <xdr:sp macro="" textlink="">
      <xdr:nvSpPr>
        <xdr:cNvPr id="22" name="Lin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>
          <a:spLocks noChangeShapeType="1"/>
        </xdr:cNvSpPr>
      </xdr:nvSpPr>
      <xdr:spPr bwMode="auto">
        <a:xfrm>
          <a:off x="2524125" y="13992225"/>
          <a:ext cx="180975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15</xdr:col>
      <xdr:colOff>200025</xdr:colOff>
      <xdr:row>7</xdr:row>
      <xdr:rowOff>9525</xdr:rowOff>
    </xdr:from>
    <xdr:to>
      <xdr:col>15</xdr:col>
      <xdr:colOff>276225</xdr:colOff>
      <xdr:row>8</xdr:row>
      <xdr:rowOff>15875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>
          <a:spLocks noChangeArrowheads="1"/>
        </xdr:cNvSpPr>
      </xdr:nvSpPr>
      <xdr:spPr bwMode="auto">
        <a:xfrm>
          <a:off x="10306050" y="1762125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31"/>
  <sheetViews>
    <sheetView showGridLines="0" zoomScale="70" zoomScaleNormal="70" workbookViewId="0">
      <pane xSplit="5" ySplit="1" topLeftCell="F17" activePane="bottomRight" state="frozen"/>
      <selection pane="topRight" activeCell="E1" sqref="E1"/>
      <selection pane="bottomLeft" activeCell="A5" sqref="A5"/>
      <selection pane="bottomRight" activeCell="I30" sqref="I30"/>
    </sheetView>
  </sheetViews>
  <sheetFormatPr defaultColWidth="9.109375" defaultRowHeight="16.5" customHeight="1"/>
  <cols>
    <col min="1" max="1" width="10.6640625" style="203" bestFit="1" customWidth="1"/>
    <col min="2" max="2" width="43.5546875" style="1" bestFit="1" customWidth="1"/>
    <col min="3" max="3" width="29.109375" style="6" customWidth="1"/>
    <col min="4" max="4" width="32.21875" style="6" customWidth="1"/>
    <col min="5" max="5" width="19" style="20" customWidth="1"/>
    <col min="6" max="6" width="16.88671875" style="12" customWidth="1"/>
    <col min="7" max="7" width="11.44140625" style="20" bestFit="1" customWidth="1"/>
    <col min="8" max="8" width="22.5546875" style="20" customWidth="1"/>
    <col min="9" max="9" width="11.44140625" style="20" bestFit="1" customWidth="1"/>
    <col min="10" max="10" width="22.5546875" style="20" customWidth="1"/>
    <col min="11" max="11" width="11.6640625" style="20" bestFit="1" customWidth="1"/>
    <col min="12" max="12" width="22.5546875" style="1" customWidth="1"/>
    <col min="13" max="16384" width="9.109375" style="1"/>
  </cols>
  <sheetData>
    <row r="1" spans="1:12" s="22" customFormat="1" ht="20.399999999999999" thickTop="1" thickBot="1">
      <c r="A1" s="202"/>
      <c r="B1" s="193" t="s">
        <v>123</v>
      </c>
      <c r="C1" s="194" t="s">
        <v>120</v>
      </c>
      <c r="D1" s="194" t="s">
        <v>121</v>
      </c>
      <c r="E1" s="199" t="s">
        <v>122</v>
      </c>
      <c r="F1" s="195" t="s">
        <v>124</v>
      </c>
      <c r="G1" s="24" t="s">
        <v>31</v>
      </c>
      <c r="H1" s="24" t="s">
        <v>28</v>
      </c>
      <c r="I1" s="24" t="s">
        <v>30</v>
      </c>
      <c r="J1" s="24" t="s">
        <v>28</v>
      </c>
      <c r="K1" s="24" t="s">
        <v>29</v>
      </c>
      <c r="L1" s="24" t="s">
        <v>28</v>
      </c>
    </row>
    <row r="2" spans="1:12" ht="16.5" customHeight="1" thickTop="1">
      <c r="A2" s="1"/>
      <c r="B2" s="196" t="s">
        <v>4</v>
      </c>
      <c r="C2" s="6" t="s">
        <v>13</v>
      </c>
      <c r="D2" s="6" t="s">
        <v>19</v>
      </c>
      <c r="E2" s="5">
        <v>3.5</v>
      </c>
      <c r="F2" s="15" t="s">
        <v>27</v>
      </c>
      <c r="G2" s="197">
        <f>$E2</f>
        <v>3.5</v>
      </c>
      <c r="H2" s="14">
        <v>47468621</v>
      </c>
      <c r="I2" s="197">
        <f>$E2</f>
        <v>3.5</v>
      </c>
      <c r="J2" s="204">
        <v>47775940</v>
      </c>
      <c r="K2" s="197">
        <f>$E2</f>
        <v>3.5</v>
      </c>
      <c r="L2" s="14">
        <v>47468621</v>
      </c>
    </row>
    <row r="3" spans="1:12" ht="16.5" customHeight="1">
      <c r="A3" s="1"/>
      <c r="B3" s="1" t="s">
        <v>11</v>
      </c>
      <c r="C3" s="6" t="s">
        <v>13</v>
      </c>
      <c r="D3" s="6" t="s">
        <v>19</v>
      </c>
      <c r="E3" s="5">
        <v>3.5</v>
      </c>
      <c r="F3" s="12" t="s">
        <v>27</v>
      </c>
      <c r="G3" s="13">
        <v>800</v>
      </c>
      <c r="H3" s="9">
        <v>47468621</v>
      </c>
      <c r="I3" s="13">
        <v>700</v>
      </c>
      <c r="J3" s="9">
        <v>47468621</v>
      </c>
      <c r="K3" s="13">
        <v>630</v>
      </c>
      <c r="L3" s="9">
        <v>47468621</v>
      </c>
    </row>
    <row r="4" spans="1:12" ht="16.5" customHeight="1">
      <c r="A4" s="1"/>
      <c r="B4" s="1" t="s">
        <v>10</v>
      </c>
      <c r="C4" s="6" t="s">
        <v>13</v>
      </c>
      <c r="D4" s="6" t="s">
        <v>19</v>
      </c>
      <c r="E4" s="5">
        <v>3.5</v>
      </c>
      <c r="F4" s="12" t="s">
        <v>27</v>
      </c>
      <c r="G4" s="13">
        <v>2500</v>
      </c>
      <c r="H4" s="9">
        <v>47468621</v>
      </c>
      <c r="I4" s="13">
        <v>2500</v>
      </c>
      <c r="J4" s="9">
        <v>47468621</v>
      </c>
      <c r="K4" s="13">
        <v>2500</v>
      </c>
      <c r="L4" s="9">
        <v>47468621</v>
      </c>
    </row>
    <row r="5" spans="1:12" ht="16.5" customHeight="1">
      <c r="A5" s="1"/>
      <c r="B5" s="1" t="s">
        <v>9</v>
      </c>
      <c r="C5" s="6" t="s">
        <v>13</v>
      </c>
      <c r="D5" s="6" t="s">
        <v>19</v>
      </c>
      <c r="E5" s="5">
        <v>3.5</v>
      </c>
      <c r="F5" s="12" t="s">
        <v>27</v>
      </c>
      <c r="G5" s="13">
        <v>1215</v>
      </c>
      <c r="H5" s="9">
        <v>47468621</v>
      </c>
      <c r="I5" s="13">
        <v>1547</v>
      </c>
      <c r="J5" s="9">
        <v>47468621</v>
      </c>
      <c r="K5" s="13">
        <v>1215</v>
      </c>
      <c r="L5" s="9">
        <v>47468621</v>
      </c>
    </row>
    <row r="6" spans="1:12" ht="16.5" customHeight="1">
      <c r="A6" s="1"/>
      <c r="B6" s="1" t="s">
        <v>8</v>
      </c>
      <c r="C6" s="6" t="s">
        <v>13</v>
      </c>
      <c r="D6" s="6" t="s">
        <v>19</v>
      </c>
      <c r="E6" s="5">
        <v>3.5</v>
      </c>
      <c r="F6" s="12" t="s">
        <v>27</v>
      </c>
      <c r="G6" s="13">
        <v>2288</v>
      </c>
      <c r="H6" s="9">
        <v>47468621</v>
      </c>
      <c r="I6" s="13">
        <v>2355</v>
      </c>
      <c r="J6" s="9">
        <v>47468621</v>
      </c>
      <c r="K6" s="13">
        <v>2667</v>
      </c>
      <c r="L6" s="9">
        <v>47468621</v>
      </c>
    </row>
    <row r="7" spans="1:12" ht="16.5" customHeight="1">
      <c r="A7" s="1"/>
      <c r="B7" s="23" t="s">
        <v>7</v>
      </c>
      <c r="C7" s="4" t="s">
        <v>13</v>
      </c>
      <c r="D7" s="4" t="s">
        <v>19</v>
      </c>
      <c r="E7" s="3">
        <v>3.5</v>
      </c>
      <c r="F7" s="16" t="s">
        <v>27</v>
      </c>
      <c r="G7" s="10">
        <v>1285</v>
      </c>
      <c r="H7" s="9">
        <v>47468621</v>
      </c>
      <c r="I7" s="10">
        <v>1364</v>
      </c>
      <c r="J7" s="9">
        <v>47468621</v>
      </c>
      <c r="K7" s="10">
        <v>1260</v>
      </c>
      <c r="L7" s="9">
        <v>47468621</v>
      </c>
    </row>
    <row r="8" spans="1:12" ht="16.5" customHeight="1">
      <c r="A8" s="1"/>
      <c r="B8" s="196" t="s">
        <v>4</v>
      </c>
      <c r="C8" s="8" t="s">
        <v>13</v>
      </c>
      <c r="D8" s="8" t="s">
        <v>3</v>
      </c>
      <c r="E8" s="7">
        <v>3.5</v>
      </c>
      <c r="F8" s="2" t="s">
        <v>27</v>
      </c>
      <c r="G8" s="197">
        <f>$E8</f>
        <v>3.5</v>
      </c>
      <c r="H8" s="14">
        <v>47468623</v>
      </c>
      <c r="I8" s="197">
        <f>$E8</f>
        <v>3.5</v>
      </c>
      <c r="J8" s="14">
        <v>47535248</v>
      </c>
      <c r="K8" s="197">
        <f>$E8</f>
        <v>3.5</v>
      </c>
      <c r="L8" s="14">
        <v>47468623</v>
      </c>
    </row>
    <row r="9" spans="1:12" ht="16.5" customHeight="1">
      <c r="A9" s="1"/>
      <c r="B9" s="1" t="s">
        <v>11</v>
      </c>
      <c r="C9" s="6" t="s">
        <v>13</v>
      </c>
      <c r="D9" s="6" t="s">
        <v>3</v>
      </c>
      <c r="E9" s="5">
        <v>3.5</v>
      </c>
      <c r="F9" s="12" t="s">
        <v>27</v>
      </c>
      <c r="G9" s="13">
        <v>875</v>
      </c>
      <c r="H9" s="9">
        <v>47468623</v>
      </c>
      <c r="I9" s="9">
        <v>775</v>
      </c>
      <c r="J9" s="9">
        <v>47535248</v>
      </c>
      <c r="K9" s="13">
        <v>730</v>
      </c>
      <c r="L9" s="9">
        <v>47468623</v>
      </c>
    </row>
    <row r="10" spans="1:12" ht="16.5" customHeight="1">
      <c r="A10" s="1"/>
      <c r="B10" s="1" t="s">
        <v>10</v>
      </c>
      <c r="C10" s="6" t="s">
        <v>13</v>
      </c>
      <c r="D10" s="6" t="s">
        <v>3</v>
      </c>
      <c r="E10" s="5">
        <v>3.5</v>
      </c>
      <c r="F10" s="12" t="s">
        <v>27</v>
      </c>
      <c r="G10" s="13">
        <v>2500</v>
      </c>
      <c r="H10" s="9">
        <v>47468623</v>
      </c>
      <c r="I10" s="13">
        <v>2500</v>
      </c>
      <c r="J10" s="9">
        <v>47535248</v>
      </c>
      <c r="K10" s="13">
        <v>2500</v>
      </c>
      <c r="L10" s="9">
        <v>47468623</v>
      </c>
    </row>
    <row r="11" spans="1:12" ht="16.5" customHeight="1">
      <c r="A11" s="1"/>
      <c r="B11" s="1" t="s">
        <v>9</v>
      </c>
      <c r="C11" s="6" t="s">
        <v>13</v>
      </c>
      <c r="D11" s="6" t="s">
        <v>3</v>
      </c>
      <c r="E11" s="5">
        <v>3.5</v>
      </c>
      <c r="F11" s="12" t="s">
        <v>27</v>
      </c>
      <c r="G11" s="13">
        <v>1265</v>
      </c>
      <c r="H11" s="9">
        <v>47468623</v>
      </c>
      <c r="I11" s="13">
        <v>1265</v>
      </c>
      <c r="J11" s="9">
        <v>47535248</v>
      </c>
      <c r="K11" s="13">
        <v>1265</v>
      </c>
      <c r="L11" s="9">
        <v>47468623</v>
      </c>
    </row>
    <row r="12" spans="1:12" ht="16.5" customHeight="1">
      <c r="A12" s="1"/>
      <c r="B12" s="1" t="s">
        <v>8</v>
      </c>
      <c r="C12" s="6" t="s">
        <v>13</v>
      </c>
      <c r="D12" s="6" t="s">
        <v>3</v>
      </c>
      <c r="E12" s="5">
        <v>3.5</v>
      </c>
      <c r="F12" s="12" t="s">
        <v>27</v>
      </c>
      <c r="G12" s="13">
        <v>2413</v>
      </c>
      <c r="H12" s="9">
        <v>47468623</v>
      </c>
      <c r="I12" s="9">
        <v>2480</v>
      </c>
      <c r="J12" s="9">
        <v>47535248</v>
      </c>
      <c r="K12" s="13">
        <v>2792</v>
      </c>
      <c r="L12" s="9">
        <v>47468623</v>
      </c>
    </row>
    <row r="13" spans="1:12" ht="16.5" customHeight="1">
      <c r="A13" s="1"/>
      <c r="B13" s="23" t="s">
        <v>7</v>
      </c>
      <c r="C13" s="4" t="s">
        <v>13</v>
      </c>
      <c r="D13" s="4" t="s">
        <v>3</v>
      </c>
      <c r="E13" s="3">
        <v>3.5</v>
      </c>
      <c r="F13" s="16" t="s">
        <v>27</v>
      </c>
      <c r="G13" s="10">
        <v>1161</v>
      </c>
      <c r="H13" s="9">
        <v>47468623</v>
      </c>
      <c r="I13" s="11">
        <v>1241</v>
      </c>
      <c r="J13" s="9">
        <v>47535248</v>
      </c>
      <c r="K13" s="10">
        <v>1136</v>
      </c>
      <c r="L13" s="9">
        <v>47468623</v>
      </c>
    </row>
    <row r="14" spans="1:12" ht="16.5" customHeight="1">
      <c r="A14" s="1"/>
      <c r="B14" s="196" t="s">
        <v>4</v>
      </c>
      <c r="C14" s="8" t="s">
        <v>13</v>
      </c>
      <c r="D14" s="8" t="s">
        <v>3</v>
      </c>
      <c r="E14" s="7">
        <v>4</v>
      </c>
      <c r="F14" s="2" t="s">
        <v>27</v>
      </c>
      <c r="G14" s="197">
        <f>$E14</f>
        <v>4</v>
      </c>
      <c r="H14" s="14">
        <v>47468624</v>
      </c>
      <c r="I14" s="197">
        <f>$E14</f>
        <v>4</v>
      </c>
      <c r="J14" s="14">
        <v>47535249</v>
      </c>
      <c r="K14" s="197">
        <f>$E14</f>
        <v>4</v>
      </c>
      <c r="L14" s="14">
        <v>47468624</v>
      </c>
    </row>
    <row r="15" spans="1:12" ht="16.5" customHeight="1">
      <c r="A15" s="1"/>
      <c r="B15" s="1" t="s">
        <v>11</v>
      </c>
      <c r="C15" s="6" t="s">
        <v>13</v>
      </c>
      <c r="D15" s="6" t="s">
        <v>3</v>
      </c>
      <c r="E15" s="5">
        <v>4</v>
      </c>
      <c r="F15" s="12" t="s">
        <v>27</v>
      </c>
      <c r="G15" s="13">
        <v>715</v>
      </c>
      <c r="H15" s="9">
        <v>47468624</v>
      </c>
      <c r="I15" s="9">
        <v>630</v>
      </c>
      <c r="J15" s="9">
        <v>47535249</v>
      </c>
      <c r="K15" s="13">
        <v>600</v>
      </c>
      <c r="L15" s="9">
        <v>47468624</v>
      </c>
    </row>
    <row r="16" spans="1:12" ht="16.5" customHeight="1">
      <c r="A16" s="1"/>
      <c r="B16" s="1" t="s">
        <v>10</v>
      </c>
      <c r="C16" s="6" t="s">
        <v>13</v>
      </c>
      <c r="D16" s="6" t="s">
        <v>3</v>
      </c>
      <c r="E16" s="5">
        <v>4</v>
      </c>
      <c r="F16" s="12" t="s">
        <v>27</v>
      </c>
      <c r="G16" s="13">
        <v>2500</v>
      </c>
      <c r="H16" s="9">
        <v>47468624</v>
      </c>
      <c r="I16" s="13">
        <v>2500</v>
      </c>
      <c r="J16" s="9">
        <v>47535249</v>
      </c>
      <c r="K16" s="13">
        <v>2500</v>
      </c>
      <c r="L16" s="9">
        <v>47468624</v>
      </c>
    </row>
    <row r="17" spans="1:12" ht="16.5" customHeight="1">
      <c r="A17" s="1"/>
      <c r="B17" s="1" t="s">
        <v>9</v>
      </c>
      <c r="C17" s="6" t="s">
        <v>13</v>
      </c>
      <c r="D17" s="6" t="s">
        <v>3</v>
      </c>
      <c r="E17" s="5">
        <v>4</v>
      </c>
      <c r="F17" s="12" t="s">
        <v>27</v>
      </c>
      <c r="G17" s="13">
        <v>1315</v>
      </c>
      <c r="H17" s="9">
        <v>47468624</v>
      </c>
      <c r="I17" s="13">
        <v>1315</v>
      </c>
      <c r="J17" s="9">
        <v>47535249</v>
      </c>
      <c r="K17" s="13">
        <v>1315</v>
      </c>
      <c r="L17" s="9">
        <v>47468624</v>
      </c>
    </row>
    <row r="18" spans="1:12" ht="16.5" customHeight="1">
      <c r="A18" s="1"/>
      <c r="B18" s="1" t="s">
        <v>8</v>
      </c>
      <c r="C18" s="6" t="s">
        <v>13</v>
      </c>
      <c r="D18" s="6" t="s">
        <v>3</v>
      </c>
      <c r="E18" s="5">
        <v>4</v>
      </c>
      <c r="F18" s="12" t="s">
        <v>27</v>
      </c>
      <c r="G18" s="13">
        <v>2205</v>
      </c>
      <c r="H18" s="9">
        <v>47468624</v>
      </c>
      <c r="I18" s="9">
        <v>2272</v>
      </c>
      <c r="J18" s="9">
        <v>47535249</v>
      </c>
      <c r="K18" s="13">
        <v>2584</v>
      </c>
      <c r="L18" s="9">
        <v>47468624</v>
      </c>
    </row>
    <row r="19" spans="1:12" ht="16.5" customHeight="1">
      <c r="A19" s="1"/>
      <c r="B19" s="23" t="s">
        <v>7</v>
      </c>
      <c r="C19" s="4" t="s">
        <v>13</v>
      </c>
      <c r="D19" s="4" t="s">
        <v>3</v>
      </c>
      <c r="E19" s="3">
        <v>4</v>
      </c>
      <c r="F19" s="16" t="s">
        <v>27</v>
      </c>
      <c r="G19" s="10">
        <v>1368</v>
      </c>
      <c r="H19" s="9">
        <v>47468624</v>
      </c>
      <c r="I19" s="11">
        <v>1448</v>
      </c>
      <c r="J19" s="9">
        <v>47535249</v>
      </c>
      <c r="K19" s="10">
        <v>1344</v>
      </c>
      <c r="L19" s="9">
        <v>47468624</v>
      </c>
    </row>
    <row r="20" spans="1:12" ht="16.5" customHeight="1">
      <c r="A20" s="1"/>
      <c r="B20" s="196" t="s">
        <v>4</v>
      </c>
      <c r="C20" s="8" t="s">
        <v>13</v>
      </c>
      <c r="D20" s="8" t="s">
        <v>3</v>
      </c>
      <c r="E20" s="7">
        <v>4.5</v>
      </c>
      <c r="F20" s="2" t="s">
        <v>27</v>
      </c>
      <c r="G20" s="197">
        <f>$E20</f>
        <v>4.5</v>
      </c>
      <c r="H20" s="14">
        <v>47468625</v>
      </c>
      <c r="I20" s="197">
        <f>$E20</f>
        <v>4.5</v>
      </c>
      <c r="J20" s="14">
        <v>47535251</v>
      </c>
      <c r="K20" s="197">
        <f>$E20</f>
        <v>4.5</v>
      </c>
      <c r="L20" s="14">
        <v>47468625</v>
      </c>
    </row>
    <row r="21" spans="1:12" ht="16.5" customHeight="1">
      <c r="A21" s="1"/>
      <c r="B21" s="1" t="s">
        <v>11</v>
      </c>
      <c r="C21" s="6" t="s">
        <v>13</v>
      </c>
      <c r="D21" s="6" t="s">
        <v>3</v>
      </c>
      <c r="E21" s="5">
        <v>4.5</v>
      </c>
      <c r="F21" s="12" t="s">
        <v>27</v>
      </c>
      <c r="G21" s="13">
        <v>630</v>
      </c>
      <c r="H21" s="9">
        <v>47468625</v>
      </c>
      <c r="I21" s="9">
        <v>575</v>
      </c>
      <c r="J21" s="9">
        <v>47535251</v>
      </c>
      <c r="K21" s="13">
        <v>520</v>
      </c>
      <c r="L21" s="9">
        <v>47468625</v>
      </c>
    </row>
    <row r="22" spans="1:12" ht="16.5" customHeight="1">
      <c r="A22" s="1"/>
      <c r="B22" s="1" t="s">
        <v>10</v>
      </c>
      <c r="C22" s="6" t="s">
        <v>13</v>
      </c>
      <c r="D22" s="6" t="s">
        <v>3</v>
      </c>
      <c r="E22" s="5">
        <v>4.5</v>
      </c>
      <c r="F22" s="12" t="s">
        <v>27</v>
      </c>
      <c r="G22" s="13">
        <v>2750</v>
      </c>
      <c r="H22" s="9">
        <v>47468625</v>
      </c>
      <c r="I22" s="13">
        <v>2750</v>
      </c>
      <c r="J22" s="9">
        <v>47535251</v>
      </c>
      <c r="K22" s="13">
        <v>2750</v>
      </c>
      <c r="L22" s="9">
        <v>47468625</v>
      </c>
    </row>
    <row r="23" spans="1:12" ht="16.5" customHeight="1">
      <c r="A23" s="1"/>
      <c r="B23" s="1" t="s">
        <v>9</v>
      </c>
      <c r="C23" s="6" t="s">
        <v>13</v>
      </c>
      <c r="D23" s="6" t="s">
        <v>3</v>
      </c>
      <c r="E23" s="5">
        <v>4.5</v>
      </c>
      <c r="F23" s="12" t="s">
        <v>27</v>
      </c>
      <c r="G23" s="13">
        <v>1365</v>
      </c>
      <c r="H23" s="9">
        <v>47468625</v>
      </c>
      <c r="I23" s="13">
        <v>1647</v>
      </c>
      <c r="J23" s="9">
        <v>47535251</v>
      </c>
      <c r="K23" s="13">
        <v>1365</v>
      </c>
      <c r="L23" s="9">
        <v>47468625</v>
      </c>
    </row>
    <row r="24" spans="1:12" ht="16.5" customHeight="1">
      <c r="A24" s="1"/>
      <c r="B24" s="1" t="s">
        <v>8</v>
      </c>
      <c r="C24" s="6" t="s">
        <v>13</v>
      </c>
      <c r="D24" s="6" t="s">
        <v>3</v>
      </c>
      <c r="E24" s="5">
        <v>4.5</v>
      </c>
      <c r="F24" s="12" t="s">
        <v>27</v>
      </c>
      <c r="G24" s="13">
        <v>2205</v>
      </c>
      <c r="H24" s="9">
        <v>47468625</v>
      </c>
      <c r="I24" s="9">
        <v>2272</v>
      </c>
      <c r="J24" s="9">
        <v>47535251</v>
      </c>
      <c r="K24" s="13">
        <v>2584</v>
      </c>
      <c r="L24" s="9">
        <v>47468625</v>
      </c>
    </row>
    <row r="25" spans="1:12" ht="16.5" customHeight="1">
      <c r="A25" s="1"/>
      <c r="B25" s="23" t="s">
        <v>7</v>
      </c>
      <c r="C25" s="4" t="s">
        <v>13</v>
      </c>
      <c r="D25" s="4" t="s">
        <v>3</v>
      </c>
      <c r="E25" s="3">
        <v>4.5</v>
      </c>
      <c r="F25" s="16" t="s">
        <v>27</v>
      </c>
      <c r="G25" s="10">
        <v>1368</v>
      </c>
      <c r="H25" s="9">
        <v>47468625</v>
      </c>
      <c r="I25" s="11">
        <v>1448</v>
      </c>
      <c r="J25" s="9">
        <v>47535251</v>
      </c>
      <c r="K25" s="10">
        <v>1344</v>
      </c>
      <c r="L25" s="9">
        <v>47468625</v>
      </c>
    </row>
    <row r="26" spans="1:12" ht="16.5" customHeight="1">
      <c r="A26" s="1"/>
      <c r="B26" s="196" t="s">
        <v>4</v>
      </c>
      <c r="C26" s="8" t="s">
        <v>12</v>
      </c>
      <c r="D26" s="8" t="s">
        <v>3</v>
      </c>
      <c r="E26" s="7">
        <v>3</v>
      </c>
      <c r="F26" s="2" t="s">
        <v>27</v>
      </c>
      <c r="G26" s="197">
        <f>$E26</f>
        <v>3</v>
      </c>
      <c r="H26" s="14">
        <v>47468628</v>
      </c>
      <c r="I26" s="197">
        <f>$E26</f>
        <v>3</v>
      </c>
      <c r="J26" s="14">
        <v>47535252</v>
      </c>
      <c r="K26" s="197">
        <f>$E26</f>
        <v>3</v>
      </c>
      <c r="L26" s="14">
        <v>47468628</v>
      </c>
    </row>
    <row r="27" spans="1:12" ht="16.5" customHeight="1">
      <c r="A27" s="1"/>
      <c r="B27" s="1" t="s">
        <v>11</v>
      </c>
      <c r="C27" s="6" t="s">
        <v>12</v>
      </c>
      <c r="D27" s="6" t="s">
        <v>3</v>
      </c>
      <c r="E27" s="5">
        <v>3</v>
      </c>
      <c r="F27" s="12" t="s">
        <v>27</v>
      </c>
      <c r="G27" s="18">
        <v>860</v>
      </c>
      <c r="H27" s="9">
        <v>47468628</v>
      </c>
      <c r="I27" s="20">
        <v>760</v>
      </c>
      <c r="J27" s="9">
        <v>47535252</v>
      </c>
      <c r="K27" s="18">
        <v>680</v>
      </c>
      <c r="L27" s="9">
        <v>47468628</v>
      </c>
    </row>
    <row r="28" spans="1:12" ht="16.5" customHeight="1">
      <c r="A28" s="1"/>
      <c r="B28" s="1" t="s">
        <v>10</v>
      </c>
      <c r="C28" s="6" t="s">
        <v>12</v>
      </c>
      <c r="D28" s="6" t="s">
        <v>3</v>
      </c>
      <c r="E28" s="5">
        <v>3</v>
      </c>
      <c r="F28" s="12" t="s">
        <v>27</v>
      </c>
      <c r="G28" s="18">
        <v>2500</v>
      </c>
      <c r="H28" s="9">
        <v>47468628</v>
      </c>
      <c r="I28" s="18">
        <v>2500</v>
      </c>
      <c r="J28" s="9">
        <v>47535252</v>
      </c>
      <c r="K28" s="18">
        <v>2500</v>
      </c>
      <c r="L28" s="9">
        <v>47468628</v>
      </c>
    </row>
    <row r="29" spans="1:12" ht="16.5" customHeight="1">
      <c r="A29" s="1"/>
      <c r="B29" s="1" t="s">
        <v>9</v>
      </c>
      <c r="C29" s="6" t="s">
        <v>12</v>
      </c>
      <c r="D29" s="6" t="s">
        <v>3</v>
      </c>
      <c r="E29" s="5">
        <v>3</v>
      </c>
      <c r="F29" s="12" t="s">
        <v>27</v>
      </c>
      <c r="G29" s="18">
        <v>1650</v>
      </c>
      <c r="H29" s="9">
        <v>47468628</v>
      </c>
      <c r="I29" s="18">
        <v>1650</v>
      </c>
      <c r="J29" s="9">
        <v>47535252</v>
      </c>
      <c r="K29" s="18">
        <v>1650</v>
      </c>
      <c r="L29" s="9">
        <v>47468628</v>
      </c>
    </row>
    <row r="30" spans="1:12" ht="16.5" customHeight="1">
      <c r="A30" s="1"/>
      <c r="B30" s="1" t="s">
        <v>8</v>
      </c>
      <c r="C30" s="6" t="s">
        <v>12</v>
      </c>
      <c r="D30" s="6" t="s">
        <v>3</v>
      </c>
      <c r="E30" s="5">
        <v>3</v>
      </c>
      <c r="F30" s="12" t="s">
        <v>27</v>
      </c>
      <c r="G30" s="20">
        <v>4328</v>
      </c>
      <c r="H30" s="9">
        <v>47468628</v>
      </c>
      <c r="I30" s="21">
        <v>3980</v>
      </c>
      <c r="J30" s="9">
        <v>47535252</v>
      </c>
      <c r="K30" s="20">
        <v>4727</v>
      </c>
      <c r="L30" s="9">
        <v>47468628</v>
      </c>
    </row>
    <row r="31" spans="1:12" ht="16.5" customHeight="1">
      <c r="A31" s="1"/>
      <c r="B31" s="23" t="s">
        <v>7</v>
      </c>
      <c r="C31" s="4" t="s">
        <v>12</v>
      </c>
      <c r="D31" s="4" t="s">
        <v>3</v>
      </c>
      <c r="E31" s="3">
        <v>3</v>
      </c>
      <c r="F31" s="16" t="s">
        <v>27</v>
      </c>
      <c r="G31" s="19">
        <v>1550</v>
      </c>
      <c r="H31" s="9">
        <v>47468628</v>
      </c>
      <c r="I31" s="19">
        <v>1796</v>
      </c>
      <c r="J31" s="9">
        <v>47535252</v>
      </c>
      <c r="K31" s="19">
        <v>1513</v>
      </c>
      <c r="L31" s="9">
        <v>47468628</v>
      </c>
    </row>
    <row r="32" spans="1:12" ht="16.5" customHeight="1">
      <c r="A32" s="1"/>
      <c r="B32" s="196" t="s">
        <v>4</v>
      </c>
      <c r="C32" s="8" t="s">
        <v>12</v>
      </c>
      <c r="D32" s="8" t="s">
        <v>3</v>
      </c>
      <c r="E32" s="7">
        <v>3.5</v>
      </c>
      <c r="F32" s="2" t="s">
        <v>27</v>
      </c>
      <c r="G32" s="197">
        <f>$E32</f>
        <v>3.5</v>
      </c>
      <c r="H32" s="14">
        <v>47468630</v>
      </c>
      <c r="I32" s="197">
        <f>$E32</f>
        <v>3.5</v>
      </c>
      <c r="J32" s="14">
        <v>47535253</v>
      </c>
      <c r="K32" s="197">
        <f>$E32</f>
        <v>3.5</v>
      </c>
      <c r="L32" s="14">
        <v>47468630</v>
      </c>
    </row>
    <row r="33" spans="1:12" ht="16.5" customHeight="1">
      <c r="A33" s="1"/>
      <c r="B33" s="1" t="s">
        <v>11</v>
      </c>
      <c r="C33" s="6" t="s">
        <v>12</v>
      </c>
      <c r="D33" s="6" t="s">
        <v>3</v>
      </c>
      <c r="E33" s="5">
        <v>3.5</v>
      </c>
      <c r="F33" s="12" t="s">
        <v>27</v>
      </c>
      <c r="G33" s="18">
        <v>660</v>
      </c>
      <c r="H33" s="9">
        <v>47468630</v>
      </c>
      <c r="I33" s="20">
        <v>630</v>
      </c>
      <c r="J33" s="9">
        <v>47535253</v>
      </c>
      <c r="K33" s="18">
        <v>540</v>
      </c>
      <c r="L33" s="9">
        <v>47468630</v>
      </c>
    </row>
    <row r="34" spans="1:12" ht="16.5" customHeight="1">
      <c r="A34" s="1"/>
      <c r="B34" s="1" t="s">
        <v>10</v>
      </c>
      <c r="C34" s="6" t="s">
        <v>12</v>
      </c>
      <c r="D34" s="6" t="s">
        <v>3</v>
      </c>
      <c r="E34" s="5">
        <v>3.5</v>
      </c>
      <c r="F34" s="12" t="s">
        <v>27</v>
      </c>
      <c r="G34" s="18">
        <v>2500</v>
      </c>
      <c r="H34" s="9">
        <v>47468630</v>
      </c>
      <c r="I34" s="18">
        <v>2500</v>
      </c>
      <c r="J34" s="9">
        <v>47535253</v>
      </c>
      <c r="K34" s="18">
        <v>2500</v>
      </c>
      <c r="L34" s="9">
        <v>47468630</v>
      </c>
    </row>
    <row r="35" spans="1:12" ht="16.5" customHeight="1">
      <c r="A35" s="1"/>
      <c r="B35" s="1" t="s">
        <v>9</v>
      </c>
      <c r="C35" s="6" t="s">
        <v>12</v>
      </c>
      <c r="D35" s="6" t="s">
        <v>3</v>
      </c>
      <c r="E35" s="5">
        <v>3.5</v>
      </c>
      <c r="F35" s="12" t="s">
        <v>27</v>
      </c>
      <c r="G35" s="18">
        <v>1750</v>
      </c>
      <c r="H35" s="9">
        <v>47468630</v>
      </c>
      <c r="I35" s="18">
        <v>1750</v>
      </c>
      <c r="J35" s="9">
        <v>47535253</v>
      </c>
      <c r="K35" s="18">
        <v>1750</v>
      </c>
      <c r="L35" s="9">
        <v>47468630</v>
      </c>
    </row>
    <row r="36" spans="1:12" ht="16.5" customHeight="1">
      <c r="A36" s="1"/>
      <c r="B36" s="1" t="s">
        <v>8</v>
      </c>
      <c r="C36" s="6" t="s">
        <v>12</v>
      </c>
      <c r="D36" s="6" t="s">
        <v>3</v>
      </c>
      <c r="E36" s="5">
        <v>3.5</v>
      </c>
      <c r="F36" s="12" t="s">
        <v>27</v>
      </c>
      <c r="G36" s="20">
        <v>4328</v>
      </c>
      <c r="H36" s="9">
        <v>47468630</v>
      </c>
      <c r="I36" s="21">
        <v>3980</v>
      </c>
      <c r="J36" s="9">
        <v>47535253</v>
      </c>
      <c r="K36" s="20">
        <v>4727</v>
      </c>
      <c r="L36" s="9">
        <v>47468630</v>
      </c>
    </row>
    <row r="37" spans="1:12" ht="16.5" customHeight="1">
      <c r="A37" s="1"/>
      <c r="B37" s="23" t="s">
        <v>7</v>
      </c>
      <c r="C37" s="4" t="s">
        <v>12</v>
      </c>
      <c r="D37" s="4" t="s">
        <v>3</v>
      </c>
      <c r="E37" s="3">
        <v>3.5</v>
      </c>
      <c r="F37" s="16" t="s">
        <v>27</v>
      </c>
      <c r="G37" s="19">
        <v>1550</v>
      </c>
      <c r="H37" s="9">
        <v>47468630</v>
      </c>
      <c r="I37" s="19">
        <v>1796</v>
      </c>
      <c r="J37" s="9">
        <v>47535253</v>
      </c>
      <c r="K37" s="19">
        <v>1513</v>
      </c>
      <c r="L37" s="9">
        <v>47468630</v>
      </c>
    </row>
    <row r="38" spans="1:12" ht="16.5" customHeight="1">
      <c r="A38" s="1"/>
      <c r="B38" s="196" t="s">
        <v>4</v>
      </c>
      <c r="C38" s="205" t="s">
        <v>146</v>
      </c>
      <c r="D38" s="8" t="s">
        <v>19</v>
      </c>
      <c r="E38" s="7">
        <v>2.8</v>
      </c>
      <c r="F38" s="2" t="s">
        <v>27</v>
      </c>
      <c r="G38" s="197">
        <f>$E38</f>
        <v>2.8</v>
      </c>
      <c r="H38" s="14">
        <v>47468640</v>
      </c>
      <c r="I38" s="197">
        <f>$E38</f>
        <v>2.8</v>
      </c>
      <c r="J38" s="204">
        <v>47775942</v>
      </c>
      <c r="K38" s="197">
        <f>$E38</f>
        <v>2.8</v>
      </c>
      <c r="L38" s="14">
        <v>47468640</v>
      </c>
    </row>
    <row r="39" spans="1:12" ht="16.5" customHeight="1">
      <c r="A39" s="1"/>
      <c r="B39" s="1" t="s">
        <v>11</v>
      </c>
      <c r="C39" s="206" t="s">
        <v>146</v>
      </c>
      <c r="D39" s="6" t="s">
        <v>19</v>
      </c>
      <c r="E39" s="5">
        <v>2.8</v>
      </c>
      <c r="F39" s="12" t="s">
        <v>27</v>
      </c>
      <c r="G39" s="18">
        <v>945</v>
      </c>
      <c r="H39" s="9">
        <v>47468640</v>
      </c>
      <c r="I39" s="18">
        <v>830</v>
      </c>
      <c r="J39" s="9">
        <v>47468640</v>
      </c>
      <c r="K39" s="18">
        <v>700</v>
      </c>
      <c r="L39" s="9">
        <v>47468640</v>
      </c>
    </row>
    <row r="40" spans="1:12" ht="16.5" customHeight="1">
      <c r="A40" s="1"/>
      <c r="B40" s="1" t="s">
        <v>10</v>
      </c>
      <c r="C40" s="206" t="s">
        <v>146</v>
      </c>
      <c r="D40" s="6" t="s">
        <v>19</v>
      </c>
      <c r="E40" s="5">
        <v>2.8</v>
      </c>
      <c r="F40" s="12" t="s">
        <v>27</v>
      </c>
      <c r="G40" s="18">
        <v>2500</v>
      </c>
      <c r="H40" s="9">
        <v>47468640</v>
      </c>
      <c r="I40" s="18">
        <v>2500</v>
      </c>
      <c r="J40" s="9">
        <v>47468640</v>
      </c>
      <c r="K40" s="18">
        <v>2500</v>
      </c>
      <c r="L40" s="9">
        <v>47468640</v>
      </c>
    </row>
    <row r="41" spans="1:12" ht="16.5" customHeight="1">
      <c r="A41" s="1"/>
      <c r="B41" s="1" t="s">
        <v>9</v>
      </c>
      <c r="C41" s="206" t="s">
        <v>146</v>
      </c>
      <c r="D41" s="6" t="s">
        <v>19</v>
      </c>
      <c r="E41" s="5">
        <v>2.8</v>
      </c>
      <c r="F41" s="12" t="s">
        <v>27</v>
      </c>
      <c r="G41" s="18">
        <v>1485</v>
      </c>
      <c r="H41" s="9">
        <v>47468640</v>
      </c>
      <c r="I41" s="18">
        <v>1817</v>
      </c>
      <c r="J41" s="9">
        <v>47468640</v>
      </c>
      <c r="K41" s="18">
        <v>1485</v>
      </c>
      <c r="L41" s="9">
        <v>47468640</v>
      </c>
    </row>
    <row r="42" spans="1:12" ht="16.5" customHeight="1">
      <c r="A42" s="1"/>
      <c r="B42" s="1" t="s">
        <v>8</v>
      </c>
      <c r="C42" s="206" t="s">
        <v>146</v>
      </c>
      <c r="D42" s="6" t="s">
        <v>19</v>
      </c>
      <c r="E42" s="5">
        <v>2.8</v>
      </c>
      <c r="F42" s="12" t="s">
        <v>27</v>
      </c>
      <c r="G42" s="18">
        <v>2398</v>
      </c>
      <c r="H42" s="9">
        <v>47468640</v>
      </c>
      <c r="I42" s="18">
        <v>2385</v>
      </c>
      <c r="J42" s="9">
        <v>47468640</v>
      </c>
      <c r="K42" s="18">
        <v>2777</v>
      </c>
      <c r="L42" s="9">
        <v>47468640</v>
      </c>
    </row>
    <row r="43" spans="1:12" ht="16.5" customHeight="1">
      <c r="A43" s="1"/>
      <c r="B43" s="23" t="s">
        <v>7</v>
      </c>
      <c r="C43" s="207" t="s">
        <v>146</v>
      </c>
      <c r="D43" s="4" t="s">
        <v>19</v>
      </c>
      <c r="E43" s="3">
        <v>2.8</v>
      </c>
      <c r="F43" s="16" t="s">
        <v>27</v>
      </c>
      <c r="G43" s="17">
        <v>1306</v>
      </c>
      <c r="H43" s="9">
        <v>47468640</v>
      </c>
      <c r="I43" s="17">
        <v>1277</v>
      </c>
      <c r="J43" s="9">
        <v>47468640</v>
      </c>
      <c r="K43" s="17">
        <v>1281</v>
      </c>
      <c r="L43" s="9">
        <v>47468640</v>
      </c>
    </row>
    <row r="44" spans="1:12" ht="16.5" customHeight="1">
      <c r="A44" s="1"/>
      <c r="B44" s="196" t="s">
        <v>4</v>
      </c>
      <c r="C44" s="205" t="s">
        <v>146</v>
      </c>
      <c r="D44" s="8" t="s">
        <v>3</v>
      </c>
      <c r="E44" s="7">
        <v>2.8</v>
      </c>
      <c r="F44" s="2" t="s">
        <v>27</v>
      </c>
      <c r="G44" s="197">
        <f>$E44</f>
        <v>2.8</v>
      </c>
      <c r="H44" s="14">
        <v>47468642</v>
      </c>
      <c r="I44" s="197">
        <f>$E44</f>
        <v>2.8</v>
      </c>
      <c r="J44" s="14">
        <v>47535255</v>
      </c>
      <c r="K44" s="197">
        <f>$E44</f>
        <v>2.8</v>
      </c>
      <c r="L44" s="14">
        <v>47468642</v>
      </c>
    </row>
    <row r="45" spans="1:12" ht="16.5" customHeight="1">
      <c r="A45" s="1"/>
      <c r="B45" s="1" t="s">
        <v>11</v>
      </c>
      <c r="C45" s="206" t="s">
        <v>146</v>
      </c>
      <c r="D45" s="6" t="s">
        <v>3</v>
      </c>
      <c r="E45" s="5">
        <v>2.8</v>
      </c>
      <c r="F45" s="12" t="s">
        <v>27</v>
      </c>
      <c r="G45" s="18">
        <v>1030</v>
      </c>
      <c r="H45" s="9">
        <v>47468642</v>
      </c>
      <c r="I45" s="20">
        <v>930</v>
      </c>
      <c r="J45" s="9">
        <v>47535255</v>
      </c>
      <c r="K45" s="18">
        <v>800</v>
      </c>
      <c r="L45" s="9">
        <v>47468642</v>
      </c>
    </row>
    <row r="46" spans="1:12" ht="16.5" customHeight="1">
      <c r="A46" s="1"/>
      <c r="B46" s="1" t="s">
        <v>10</v>
      </c>
      <c r="C46" s="206" t="s">
        <v>146</v>
      </c>
      <c r="D46" s="6" t="s">
        <v>3</v>
      </c>
      <c r="E46" s="5">
        <v>2.8</v>
      </c>
      <c r="F46" s="12" t="s">
        <v>27</v>
      </c>
      <c r="G46" s="18">
        <v>2500</v>
      </c>
      <c r="H46" s="9">
        <v>47468642</v>
      </c>
      <c r="I46" s="18">
        <v>2500</v>
      </c>
      <c r="J46" s="9">
        <v>47535255</v>
      </c>
      <c r="K46" s="18">
        <v>2500</v>
      </c>
      <c r="L46" s="9">
        <v>47468642</v>
      </c>
    </row>
    <row r="47" spans="1:12" ht="16.5" customHeight="1">
      <c r="A47" s="1"/>
      <c r="B47" s="1" t="s">
        <v>9</v>
      </c>
      <c r="C47" s="206" t="s">
        <v>146</v>
      </c>
      <c r="D47" s="6" t="s">
        <v>3</v>
      </c>
      <c r="E47" s="5">
        <v>2.8</v>
      </c>
      <c r="F47" s="12" t="s">
        <v>27</v>
      </c>
      <c r="G47" s="18">
        <v>1552</v>
      </c>
      <c r="H47" s="9">
        <v>47468642</v>
      </c>
      <c r="I47" s="18">
        <v>1552</v>
      </c>
      <c r="J47" s="9">
        <v>47535255</v>
      </c>
      <c r="K47" s="18">
        <v>1552</v>
      </c>
      <c r="L47" s="9">
        <v>47468642</v>
      </c>
    </row>
    <row r="48" spans="1:12" ht="16.5" customHeight="1">
      <c r="A48" s="1"/>
      <c r="B48" s="1" t="s">
        <v>8</v>
      </c>
      <c r="C48" s="206" t="s">
        <v>146</v>
      </c>
      <c r="D48" s="6" t="s">
        <v>3</v>
      </c>
      <c r="E48" s="5">
        <v>2.8</v>
      </c>
      <c r="F48" s="12" t="s">
        <v>27</v>
      </c>
      <c r="G48" s="18">
        <v>2512</v>
      </c>
      <c r="H48" s="9">
        <v>47468642</v>
      </c>
      <c r="I48" s="20">
        <v>2510</v>
      </c>
      <c r="J48" s="9">
        <v>47535255</v>
      </c>
      <c r="K48" s="18">
        <v>2891</v>
      </c>
      <c r="L48" s="9">
        <v>47468642</v>
      </c>
    </row>
    <row r="49" spans="1:12" ht="16.5" customHeight="1">
      <c r="A49" s="1"/>
      <c r="B49" s="23" t="s">
        <v>7</v>
      </c>
      <c r="C49" s="207" t="s">
        <v>146</v>
      </c>
      <c r="D49" s="4" t="s">
        <v>3</v>
      </c>
      <c r="E49" s="3">
        <v>2.8</v>
      </c>
      <c r="F49" s="16" t="s">
        <v>27</v>
      </c>
      <c r="G49" s="17">
        <v>1172</v>
      </c>
      <c r="H49" s="9">
        <v>47468642</v>
      </c>
      <c r="I49" s="19">
        <v>1153</v>
      </c>
      <c r="J49" s="9">
        <v>47535255</v>
      </c>
      <c r="K49" s="17">
        <v>1147</v>
      </c>
      <c r="L49" s="9">
        <v>47468642</v>
      </c>
    </row>
    <row r="50" spans="1:12" ht="16.5" customHeight="1">
      <c r="A50" s="1"/>
      <c r="B50" s="196" t="s">
        <v>4</v>
      </c>
      <c r="C50" s="205" t="s">
        <v>146</v>
      </c>
      <c r="D50" s="8" t="s">
        <v>3</v>
      </c>
      <c r="E50" s="7">
        <v>3.5</v>
      </c>
      <c r="F50" s="2" t="s">
        <v>27</v>
      </c>
      <c r="G50" s="197">
        <f>$E50</f>
        <v>3.5</v>
      </c>
      <c r="H50" s="14">
        <v>47468645</v>
      </c>
      <c r="I50" s="197">
        <f>$E50</f>
        <v>3.5</v>
      </c>
      <c r="J50" s="14">
        <v>47535256</v>
      </c>
      <c r="K50" s="197">
        <f>$E50</f>
        <v>3.5</v>
      </c>
      <c r="L50" s="14">
        <v>47468645</v>
      </c>
    </row>
    <row r="51" spans="1:12" ht="16.5" customHeight="1">
      <c r="A51" s="1"/>
      <c r="B51" s="1" t="s">
        <v>11</v>
      </c>
      <c r="C51" s="206" t="s">
        <v>146</v>
      </c>
      <c r="D51" s="6" t="s">
        <v>3</v>
      </c>
      <c r="E51" s="5">
        <v>3.5</v>
      </c>
      <c r="F51" s="12" t="s">
        <v>27</v>
      </c>
      <c r="G51" s="18">
        <v>700</v>
      </c>
      <c r="H51" s="9">
        <v>47468645</v>
      </c>
      <c r="I51" s="20">
        <v>620</v>
      </c>
      <c r="J51" s="9">
        <v>47535256</v>
      </c>
      <c r="K51" s="18">
        <v>515</v>
      </c>
      <c r="L51" s="9">
        <v>47468645</v>
      </c>
    </row>
    <row r="52" spans="1:12" ht="16.5" customHeight="1">
      <c r="A52" s="1"/>
      <c r="B52" s="1" t="s">
        <v>10</v>
      </c>
      <c r="C52" s="206" t="s">
        <v>146</v>
      </c>
      <c r="D52" s="6" t="s">
        <v>3</v>
      </c>
      <c r="E52" s="5">
        <v>3.5</v>
      </c>
      <c r="F52" s="12" t="s">
        <v>27</v>
      </c>
      <c r="G52" s="18">
        <v>2500</v>
      </c>
      <c r="H52" s="9">
        <v>47468645</v>
      </c>
      <c r="I52" s="18">
        <v>2500</v>
      </c>
      <c r="J52" s="9">
        <v>47535256</v>
      </c>
      <c r="K52" s="18">
        <v>2500</v>
      </c>
      <c r="L52" s="9">
        <v>47468645</v>
      </c>
    </row>
    <row r="53" spans="1:12" ht="16.5" customHeight="1">
      <c r="A53" s="1"/>
      <c r="B53" s="1" t="s">
        <v>9</v>
      </c>
      <c r="C53" s="206" t="s">
        <v>146</v>
      </c>
      <c r="D53" s="6" t="s">
        <v>3</v>
      </c>
      <c r="E53" s="5">
        <v>3.5</v>
      </c>
      <c r="F53" s="12" t="s">
        <v>27</v>
      </c>
      <c r="G53" s="18">
        <v>1880</v>
      </c>
      <c r="H53" s="9">
        <v>47468645</v>
      </c>
      <c r="I53" s="18">
        <v>1880</v>
      </c>
      <c r="J53" s="9">
        <v>47535256</v>
      </c>
      <c r="K53" s="18">
        <v>1880</v>
      </c>
      <c r="L53" s="9">
        <v>47468645</v>
      </c>
    </row>
    <row r="54" spans="1:12" ht="16.5" customHeight="1">
      <c r="A54" s="1"/>
      <c r="B54" s="1" t="s">
        <v>8</v>
      </c>
      <c r="C54" s="206" t="s">
        <v>146</v>
      </c>
      <c r="D54" s="6" t="s">
        <v>3</v>
      </c>
      <c r="E54" s="5">
        <v>3.5</v>
      </c>
      <c r="F54" s="12" t="s">
        <v>27</v>
      </c>
      <c r="G54" s="18">
        <v>2187</v>
      </c>
      <c r="H54" s="9">
        <v>47468645</v>
      </c>
      <c r="I54" s="20">
        <v>2173</v>
      </c>
      <c r="J54" s="9">
        <v>47535256</v>
      </c>
      <c r="K54" s="18">
        <v>2566</v>
      </c>
      <c r="L54" s="9">
        <v>47468645</v>
      </c>
    </row>
    <row r="55" spans="1:12" ht="16.5" customHeight="1">
      <c r="A55" s="1"/>
      <c r="B55" s="23" t="s">
        <v>7</v>
      </c>
      <c r="C55" s="207" t="s">
        <v>146</v>
      </c>
      <c r="D55" s="4" t="s">
        <v>3</v>
      </c>
      <c r="E55" s="3">
        <v>3.5</v>
      </c>
      <c r="F55" s="16" t="s">
        <v>27</v>
      </c>
      <c r="G55" s="17">
        <v>1324</v>
      </c>
      <c r="H55" s="9">
        <v>47468645</v>
      </c>
      <c r="I55" s="19">
        <v>1277</v>
      </c>
      <c r="J55" s="9">
        <v>47535256</v>
      </c>
      <c r="K55" s="17">
        <v>1300</v>
      </c>
      <c r="L55" s="9">
        <v>47468645</v>
      </c>
    </row>
    <row r="56" spans="1:12" ht="18.75" customHeight="1">
      <c r="A56" s="1"/>
      <c r="B56" s="196" t="s">
        <v>4</v>
      </c>
      <c r="C56" s="205" t="s">
        <v>147</v>
      </c>
      <c r="D56" s="8" t="s">
        <v>19</v>
      </c>
      <c r="E56" s="200" t="s">
        <v>25</v>
      </c>
      <c r="F56" s="2" t="s">
        <v>27</v>
      </c>
      <c r="G56" s="197" t="str">
        <f>$E56</f>
        <v>0,8mc</v>
      </c>
      <c r="H56" s="198">
        <v>47468635</v>
      </c>
      <c r="I56" s="197" t="str">
        <f>$E56</f>
        <v>0,8mc</v>
      </c>
      <c r="J56" s="209">
        <v>47775941</v>
      </c>
      <c r="K56" s="197" t="str">
        <f>$E56</f>
        <v>0,8mc</v>
      </c>
      <c r="L56" s="198">
        <v>47468635</v>
      </c>
    </row>
    <row r="57" spans="1:12" ht="18.75" customHeight="1">
      <c r="A57" s="1"/>
      <c r="B57" s="196" t="s">
        <v>4</v>
      </c>
      <c r="C57" s="8" t="s">
        <v>147</v>
      </c>
      <c r="D57" s="8" t="s">
        <v>3</v>
      </c>
      <c r="E57" s="200" t="s">
        <v>25</v>
      </c>
      <c r="F57" s="2" t="s">
        <v>27</v>
      </c>
      <c r="G57" s="197" t="str">
        <f>$E57</f>
        <v>0,8mc</v>
      </c>
      <c r="H57" s="198">
        <v>47468637</v>
      </c>
      <c r="I57" s="197" t="str">
        <f>$E57</f>
        <v>0,8mc</v>
      </c>
      <c r="J57" s="198">
        <v>47468637</v>
      </c>
      <c r="K57" s="197" t="str">
        <f>$E57</f>
        <v>0,8mc</v>
      </c>
      <c r="L57" s="198">
        <v>47468637</v>
      </c>
    </row>
    <row r="58" spans="1:12" ht="16.5" customHeight="1">
      <c r="B58" s="196" t="s">
        <v>4</v>
      </c>
      <c r="C58" s="8" t="s">
        <v>13</v>
      </c>
      <c r="D58" s="8" t="s">
        <v>19</v>
      </c>
      <c r="E58" s="7">
        <v>3.5</v>
      </c>
      <c r="F58" s="2" t="s">
        <v>26</v>
      </c>
      <c r="G58" s="197">
        <f>$E58</f>
        <v>3.5</v>
      </c>
      <c r="H58" s="14">
        <v>47468701</v>
      </c>
      <c r="I58" s="197">
        <f>$E58</f>
        <v>3.5</v>
      </c>
      <c r="J58" s="204">
        <v>47775971</v>
      </c>
      <c r="K58" s="197">
        <f>$E58</f>
        <v>3.5</v>
      </c>
      <c r="L58" s="14">
        <v>47468701</v>
      </c>
    </row>
    <row r="59" spans="1:12" ht="16.5" customHeight="1">
      <c r="B59" s="1" t="s">
        <v>11</v>
      </c>
      <c r="C59" s="6" t="s">
        <v>13</v>
      </c>
      <c r="D59" s="6" t="s">
        <v>19</v>
      </c>
      <c r="E59" s="5">
        <v>3.5</v>
      </c>
      <c r="F59" s="12" t="s">
        <v>26</v>
      </c>
      <c r="G59" s="13">
        <v>1090</v>
      </c>
      <c r="H59" s="9">
        <v>47468701</v>
      </c>
      <c r="I59" s="13">
        <v>975</v>
      </c>
      <c r="J59" s="9">
        <v>47468701</v>
      </c>
      <c r="K59" s="13">
        <v>910</v>
      </c>
      <c r="L59" s="9">
        <v>47468701</v>
      </c>
    </row>
    <row r="60" spans="1:12" ht="16.5" customHeight="1">
      <c r="B60" s="1" t="s">
        <v>10</v>
      </c>
      <c r="C60" s="6" t="s">
        <v>13</v>
      </c>
      <c r="D60" s="6" t="s">
        <v>19</v>
      </c>
      <c r="E60" s="5">
        <v>3.5</v>
      </c>
      <c r="F60" s="12" t="s">
        <v>26</v>
      </c>
      <c r="G60" s="13">
        <v>2500</v>
      </c>
      <c r="H60" s="9">
        <v>47468701</v>
      </c>
      <c r="I60" s="13">
        <v>2500</v>
      </c>
      <c r="J60" s="9">
        <v>47468701</v>
      </c>
      <c r="K60" s="13">
        <v>2500</v>
      </c>
      <c r="L60" s="9">
        <v>47468701</v>
      </c>
    </row>
    <row r="61" spans="1:12" ht="16.5" customHeight="1">
      <c r="B61" s="1" t="s">
        <v>9</v>
      </c>
      <c r="C61" s="6" t="s">
        <v>13</v>
      </c>
      <c r="D61" s="6" t="s">
        <v>19</v>
      </c>
      <c r="E61" s="5">
        <v>3.5</v>
      </c>
      <c r="F61" s="12" t="s">
        <v>26</v>
      </c>
      <c r="G61" s="13">
        <v>1215</v>
      </c>
      <c r="H61" s="9">
        <v>47468701</v>
      </c>
      <c r="I61" s="13">
        <v>1547</v>
      </c>
      <c r="J61" s="9">
        <v>47468701</v>
      </c>
      <c r="K61" s="13">
        <v>1215</v>
      </c>
      <c r="L61" s="9">
        <v>47468701</v>
      </c>
    </row>
    <row r="62" spans="1:12" ht="16.5" customHeight="1">
      <c r="B62" s="1" t="s">
        <v>8</v>
      </c>
      <c r="C62" s="6" t="s">
        <v>13</v>
      </c>
      <c r="D62" s="6" t="s">
        <v>19</v>
      </c>
      <c r="E62" s="5">
        <v>3.5</v>
      </c>
      <c r="F62" s="12" t="s">
        <v>26</v>
      </c>
      <c r="G62" s="13">
        <v>2573</v>
      </c>
      <c r="H62" s="9">
        <v>47468701</v>
      </c>
      <c r="I62" s="13">
        <v>2568</v>
      </c>
      <c r="J62" s="9">
        <v>47468701</v>
      </c>
      <c r="K62" s="13">
        <v>3089</v>
      </c>
      <c r="L62" s="9">
        <v>47468701</v>
      </c>
    </row>
    <row r="63" spans="1:12" ht="16.5" customHeight="1">
      <c r="B63" s="23" t="s">
        <v>7</v>
      </c>
      <c r="C63" s="4" t="s">
        <v>13</v>
      </c>
      <c r="D63" s="4" t="s">
        <v>19</v>
      </c>
      <c r="E63" s="3">
        <v>3.5</v>
      </c>
      <c r="F63" s="16" t="s">
        <v>26</v>
      </c>
      <c r="G63" s="10">
        <v>1245</v>
      </c>
      <c r="H63" s="9">
        <v>47468701</v>
      </c>
      <c r="I63" s="10">
        <v>1281</v>
      </c>
      <c r="J63" s="9">
        <v>47468701</v>
      </c>
      <c r="K63" s="10">
        <v>1374</v>
      </c>
      <c r="L63" s="9">
        <v>47468701</v>
      </c>
    </row>
    <row r="64" spans="1:12" ht="16.5" customHeight="1">
      <c r="B64" s="196" t="s">
        <v>4</v>
      </c>
      <c r="C64" s="8" t="s">
        <v>13</v>
      </c>
      <c r="D64" s="8" t="s">
        <v>19</v>
      </c>
      <c r="E64" s="7">
        <v>4</v>
      </c>
      <c r="F64" s="15" t="s">
        <v>26</v>
      </c>
      <c r="G64" s="197">
        <f>$E64</f>
        <v>4</v>
      </c>
      <c r="H64" s="14">
        <v>47468702</v>
      </c>
      <c r="I64" s="197">
        <f>$E64</f>
        <v>4</v>
      </c>
      <c r="J64" s="204">
        <v>47775972</v>
      </c>
      <c r="K64" s="197">
        <f>$E64</f>
        <v>4</v>
      </c>
      <c r="L64" s="14">
        <v>47468702</v>
      </c>
    </row>
    <row r="65" spans="2:12" ht="16.5" customHeight="1">
      <c r="B65" s="1" t="s">
        <v>11</v>
      </c>
      <c r="C65" s="6" t="s">
        <v>13</v>
      </c>
      <c r="D65" s="6" t="s">
        <v>19</v>
      </c>
      <c r="E65" s="5">
        <v>4</v>
      </c>
      <c r="F65" s="12" t="s">
        <v>26</v>
      </c>
      <c r="G65" s="13">
        <v>900</v>
      </c>
      <c r="H65" s="9">
        <v>47468702</v>
      </c>
      <c r="I65" s="13">
        <v>800</v>
      </c>
      <c r="J65" s="9">
        <v>47468702</v>
      </c>
      <c r="K65" s="13">
        <v>750</v>
      </c>
      <c r="L65" s="9">
        <v>47468702</v>
      </c>
    </row>
    <row r="66" spans="2:12" ht="16.5" customHeight="1">
      <c r="B66" s="1" t="s">
        <v>10</v>
      </c>
      <c r="C66" s="6" t="s">
        <v>13</v>
      </c>
      <c r="D66" s="6" t="s">
        <v>19</v>
      </c>
      <c r="E66" s="5">
        <v>4</v>
      </c>
      <c r="F66" s="12" t="s">
        <v>26</v>
      </c>
      <c r="G66" s="13">
        <v>2500</v>
      </c>
      <c r="H66" s="9">
        <v>47468702</v>
      </c>
      <c r="I66" s="13">
        <v>2500</v>
      </c>
      <c r="J66" s="9">
        <v>47468702</v>
      </c>
      <c r="K66" s="13">
        <v>2500</v>
      </c>
      <c r="L66" s="9">
        <v>47468702</v>
      </c>
    </row>
    <row r="67" spans="2:12" ht="16.5" customHeight="1">
      <c r="B67" s="1" t="s">
        <v>9</v>
      </c>
      <c r="C67" s="6" t="s">
        <v>13</v>
      </c>
      <c r="D67" s="6" t="s">
        <v>19</v>
      </c>
      <c r="E67" s="5">
        <v>4</v>
      </c>
      <c r="F67" s="12" t="s">
        <v>26</v>
      </c>
      <c r="G67" s="13">
        <v>1265</v>
      </c>
      <c r="H67" s="9">
        <v>47468702</v>
      </c>
      <c r="I67" s="13">
        <v>1597</v>
      </c>
      <c r="J67" s="9">
        <v>47468702</v>
      </c>
      <c r="K67" s="13">
        <v>1265</v>
      </c>
      <c r="L67" s="9">
        <v>47468702</v>
      </c>
    </row>
    <row r="68" spans="2:12" ht="16.5" customHeight="1">
      <c r="B68" s="1" t="s">
        <v>8</v>
      </c>
      <c r="C68" s="6" t="s">
        <v>13</v>
      </c>
      <c r="D68" s="6" t="s">
        <v>19</v>
      </c>
      <c r="E68" s="5">
        <v>4</v>
      </c>
      <c r="F68" s="12" t="s">
        <v>26</v>
      </c>
      <c r="G68" s="13">
        <v>2379</v>
      </c>
      <c r="H68" s="9">
        <v>47468702</v>
      </c>
      <c r="I68" s="13">
        <v>2360</v>
      </c>
      <c r="J68" s="9">
        <v>47468702</v>
      </c>
      <c r="K68" s="13">
        <v>2917</v>
      </c>
      <c r="L68" s="9">
        <v>47468702</v>
      </c>
    </row>
    <row r="69" spans="2:12" ht="16.5" customHeight="1">
      <c r="B69" s="23" t="s">
        <v>7</v>
      </c>
      <c r="C69" s="4" t="s">
        <v>13</v>
      </c>
      <c r="D69" s="4" t="s">
        <v>19</v>
      </c>
      <c r="E69" s="3">
        <v>4</v>
      </c>
      <c r="F69" s="12" t="s">
        <v>26</v>
      </c>
      <c r="G69" s="10">
        <v>1465</v>
      </c>
      <c r="H69" s="9">
        <v>47468702</v>
      </c>
      <c r="I69" s="10">
        <v>1488</v>
      </c>
      <c r="J69" s="9">
        <v>47468702</v>
      </c>
      <c r="K69" s="10">
        <v>1611</v>
      </c>
      <c r="L69" s="9">
        <v>47468702</v>
      </c>
    </row>
    <row r="70" spans="2:12" ht="16.5" customHeight="1">
      <c r="B70" s="196" t="s">
        <v>4</v>
      </c>
      <c r="C70" s="8" t="s">
        <v>13</v>
      </c>
      <c r="D70" s="8" t="s">
        <v>19</v>
      </c>
      <c r="E70" s="7">
        <v>4.5</v>
      </c>
      <c r="F70" s="15" t="s">
        <v>26</v>
      </c>
      <c r="G70" s="197">
        <f>$E70</f>
        <v>4.5</v>
      </c>
      <c r="H70" s="14">
        <v>47468703</v>
      </c>
      <c r="I70" s="197">
        <f>$E70</f>
        <v>4.5</v>
      </c>
      <c r="J70" s="204">
        <v>47775974</v>
      </c>
      <c r="K70" s="197">
        <f>$E70</f>
        <v>4.5</v>
      </c>
      <c r="L70" s="14">
        <v>47468703</v>
      </c>
    </row>
    <row r="71" spans="2:12" ht="16.5" customHeight="1">
      <c r="B71" s="1" t="s">
        <v>11</v>
      </c>
      <c r="C71" s="6" t="s">
        <v>13</v>
      </c>
      <c r="D71" s="6" t="s">
        <v>19</v>
      </c>
      <c r="E71" s="5">
        <v>4.5</v>
      </c>
      <c r="F71" s="12" t="s">
        <v>26</v>
      </c>
      <c r="G71" s="13">
        <v>800</v>
      </c>
      <c r="H71" s="9">
        <v>47468703</v>
      </c>
      <c r="I71" s="13">
        <v>700</v>
      </c>
      <c r="J71" s="9">
        <v>47468703</v>
      </c>
      <c r="K71" s="13">
        <v>665</v>
      </c>
      <c r="L71" s="9">
        <v>47468703</v>
      </c>
    </row>
    <row r="72" spans="2:12" ht="16.5" customHeight="1">
      <c r="B72" s="1" t="s">
        <v>10</v>
      </c>
      <c r="C72" s="6" t="s">
        <v>13</v>
      </c>
      <c r="D72" s="6" t="s">
        <v>19</v>
      </c>
      <c r="E72" s="5">
        <v>4.5</v>
      </c>
      <c r="F72" s="12" t="s">
        <v>26</v>
      </c>
      <c r="G72" s="13">
        <v>2750</v>
      </c>
      <c r="H72" s="9">
        <v>47468703</v>
      </c>
      <c r="I72" s="13">
        <v>2750</v>
      </c>
      <c r="J72" s="9">
        <v>47468703</v>
      </c>
      <c r="K72" s="13">
        <v>2750</v>
      </c>
      <c r="L72" s="9">
        <v>47468703</v>
      </c>
    </row>
    <row r="73" spans="2:12" ht="16.5" customHeight="1">
      <c r="B73" s="1" t="s">
        <v>9</v>
      </c>
      <c r="C73" s="6" t="s">
        <v>13</v>
      </c>
      <c r="D73" s="6" t="s">
        <v>19</v>
      </c>
      <c r="E73" s="5">
        <v>4.5</v>
      </c>
      <c r="F73" s="12" t="s">
        <v>26</v>
      </c>
      <c r="G73" s="13">
        <v>1315</v>
      </c>
      <c r="H73" s="9">
        <v>47468703</v>
      </c>
      <c r="I73" s="13">
        <v>1647</v>
      </c>
      <c r="J73" s="9">
        <v>47468703</v>
      </c>
      <c r="K73" s="13">
        <v>1315</v>
      </c>
      <c r="L73" s="9">
        <v>47468703</v>
      </c>
    </row>
    <row r="74" spans="2:12" ht="16.5" customHeight="1">
      <c r="B74" s="1" t="s">
        <v>8</v>
      </c>
      <c r="C74" s="6" t="s">
        <v>13</v>
      </c>
      <c r="D74" s="6" t="s">
        <v>19</v>
      </c>
      <c r="E74" s="5">
        <v>4.5</v>
      </c>
      <c r="F74" s="12" t="s">
        <v>26</v>
      </c>
      <c r="G74" s="13">
        <v>2379</v>
      </c>
      <c r="H74" s="9">
        <v>47468703</v>
      </c>
      <c r="I74" s="13">
        <v>2360</v>
      </c>
      <c r="J74" s="9">
        <v>47468703</v>
      </c>
      <c r="K74" s="13">
        <v>2917</v>
      </c>
      <c r="L74" s="9">
        <v>47468703</v>
      </c>
    </row>
    <row r="75" spans="2:12" ht="16.5" customHeight="1">
      <c r="B75" s="23" t="s">
        <v>7</v>
      </c>
      <c r="C75" s="4" t="s">
        <v>13</v>
      </c>
      <c r="D75" s="4" t="s">
        <v>19</v>
      </c>
      <c r="E75" s="3">
        <v>4.5</v>
      </c>
      <c r="F75" s="12" t="s">
        <v>26</v>
      </c>
      <c r="G75" s="10">
        <v>1465</v>
      </c>
      <c r="H75" s="9">
        <v>47468703</v>
      </c>
      <c r="I75" s="10">
        <v>1488</v>
      </c>
      <c r="J75" s="9">
        <v>47468703</v>
      </c>
      <c r="K75" s="10">
        <v>1611</v>
      </c>
      <c r="L75" s="9">
        <v>47468703</v>
      </c>
    </row>
    <row r="76" spans="2:12" ht="16.5" customHeight="1">
      <c r="B76" s="196" t="s">
        <v>4</v>
      </c>
      <c r="C76" s="8" t="s">
        <v>13</v>
      </c>
      <c r="D76" s="8" t="s">
        <v>19</v>
      </c>
      <c r="E76" s="7">
        <v>5</v>
      </c>
      <c r="F76" s="15" t="s">
        <v>26</v>
      </c>
      <c r="G76" s="197">
        <f>$E76</f>
        <v>5</v>
      </c>
      <c r="H76" s="14">
        <v>47468704</v>
      </c>
      <c r="I76" s="197">
        <f>$E76</f>
        <v>5</v>
      </c>
      <c r="J76" s="204">
        <v>47775975</v>
      </c>
      <c r="K76" s="197">
        <f>$E76</f>
        <v>5</v>
      </c>
      <c r="L76" s="14">
        <v>47468704</v>
      </c>
    </row>
    <row r="77" spans="2:12" ht="16.5" customHeight="1">
      <c r="B77" s="1" t="s">
        <v>11</v>
      </c>
      <c r="C77" s="6" t="s">
        <v>13</v>
      </c>
      <c r="D77" s="6" t="s">
        <v>19</v>
      </c>
      <c r="E77" s="5">
        <v>5</v>
      </c>
      <c r="F77" s="12" t="s">
        <v>26</v>
      </c>
      <c r="G77" s="13">
        <v>710</v>
      </c>
      <c r="H77" s="9">
        <v>47468704</v>
      </c>
      <c r="I77" s="13">
        <v>625</v>
      </c>
      <c r="J77" s="9">
        <v>47468704</v>
      </c>
      <c r="K77" s="13">
        <v>590</v>
      </c>
      <c r="L77" s="9">
        <v>47468704</v>
      </c>
    </row>
    <row r="78" spans="2:12" ht="16.5" customHeight="1">
      <c r="B78" s="1" t="s">
        <v>10</v>
      </c>
      <c r="C78" s="6" t="s">
        <v>13</v>
      </c>
      <c r="D78" s="6" t="s">
        <v>19</v>
      </c>
      <c r="E78" s="5">
        <v>5</v>
      </c>
      <c r="F78" s="12" t="s">
        <v>26</v>
      </c>
      <c r="G78" s="13">
        <v>3000</v>
      </c>
      <c r="H78" s="9">
        <v>47468704</v>
      </c>
      <c r="I78" s="13">
        <v>3000</v>
      </c>
      <c r="J78" s="9">
        <v>47468704</v>
      </c>
      <c r="K78" s="13">
        <v>3000</v>
      </c>
      <c r="L78" s="9">
        <v>47468704</v>
      </c>
    </row>
    <row r="79" spans="2:12" ht="16.5" customHeight="1">
      <c r="B79" s="1" t="s">
        <v>9</v>
      </c>
      <c r="C79" s="6" t="s">
        <v>13</v>
      </c>
      <c r="D79" s="6" t="s">
        <v>19</v>
      </c>
      <c r="E79" s="5">
        <v>5</v>
      </c>
      <c r="F79" s="12" t="s">
        <v>26</v>
      </c>
      <c r="G79" s="13">
        <v>1415</v>
      </c>
      <c r="H79" s="9">
        <v>47468704</v>
      </c>
      <c r="I79" s="13">
        <v>1747</v>
      </c>
      <c r="J79" s="9">
        <v>47468704</v>
      </c>
      <c r="K79" s="13">
        <v>1415</v>
      </c>
      <c r="L79" s="9">
        <v>47468704</v>
      </c>
    </row>
    <row r="80" spans="2:12" ht="16.5" customHeight="1">
      <c r="B80" s="1" t="s">
        <v>8</v>
      </c>
      <c r="C80" s="6" t="s">
        <v>13</v>
      </c>
      <c r="D80" s="6" t="s">
        <v>19</v>
      </c>
      <c r="E80" s="5">
        <v>5</v>
      </c>
      <c r="F80" s="12" t="s">
        <v>26</v>
      </c>
      <c r="G80" s="13">
        <v>2379</v>
      </c>
      <c r="H80" s="9">
        <v>47468704</v>
      </c>
      <c r="I80" s="13">
        <v>2360</v>
      </c>
      <c r="J80" s="9">
        <v>47468704</v>
      </c>
      <c r="K80" s="13">
        <v>2916</v>
      </c>
      <c r="L80" s="9">
        <v>47468704</v>
      </c>
    </row>
    <row r="81" spans="2:12" ht="16.5" customHeight="1">
      <c r="B81" s="23" t="s">
        <v>7</v>
      </c>
      <c r="C81" s="4" t="s">
        <v>13</v>
      </c>
      <c r="D81" s="4" t="s">
        <v>19</v>
      </c>
      <c r="E81" s="3">
        <v>5</v>
      </c>
      <c r="F81" s="12" t="s">
        <v>26</v>
      </c>
      <c r="G81" s="10">
        <v>1465</v>
      </c>
      <c r="H81" s="9">
        <v>47468704</v>
      </c>
      <c r="I81" s="10">
        <v>1488</v>
      </c>
      <c r="J81" s="9">
        <v>47468704</v>
      </c>
      <c r="K81" s="10">
        <v>1611</v>
      </c>
      <c r="L81" s="9">
        <v>47468704</v>
      </c>
    </row>
    <row r="82" spans="2:12" ht="16.5" customHeight="1">
      <c r="B82" s="196" t="s">
        <v>4</v>
      </c>
      <c r="C82" s="8" t="s">
        <v>13</v>
      </c>
      <c r="D82" s="8" t="s">
        <v>3</v>
      </c>
      <c r="E82" s="7">
        <v>3.5</v>
      </c>
      <c r="F82" s="2" t="s">
        <v>26</v>
      </c>
      <c r="G82" s="197">
        <f>$E82</f>
        <v>3.5</v>
      </c>
      <c r="H82" s="14">
        <v>47468706</v>
      </c>
      <c r="I82" s="197">
        <f>$E82</f>
        <v>3.5</v>
      </c>
      <c r="J82" s="14">
        <v>47535298</v>
      </c>
      <c r="K82" s="197">
        <f>$E82</f>
        <v>3.5</v>
      </c>
      <c r="L82" s="14">
        <v>47468706</v>
      </c>
    </row>
    <row r="83" spans="2:12" ht="16.5" customHeight="1">
      <c r="B83" s="1" t="s">
        <v>11</v>
      </c>
      <c r="C83" s="6" t="s">
        <v>13</v>
      </c>
      <c r="D83" s="6" t="s">
        <v>3</v>
      </c>
      <c r="E83" s="5">
        <v>3.5</v>
      </c>
      <c r="F83" s="12" t="s">
        <v>26</v>
      </c>
      <c r="G83" s="13">
        <v>1130</v>
      </c>
      <c r="H83" s="9">
        <v>47468706</v>
      </c>
      <c r="I83" s="9">
        <v>1050</v>
      </c>
      <c r="J83" s="9">
        <v>47535298</v>
      </c>
      <c r="K83" s="13">
        <v>945</v>
      </c>
      <c r="L83" s="9">
        <v>47468706</v>
      </c>
    </row>
    <row r="84" spans="2:12" ht="16.5" customHeight="1">
      <c r="B84" s="1" t="s">
        <v>10</v>
      </c>
      <c r="C84" s="6" t="s">
        <v>13</v>
      </c>
      <c r="D84" s="6" t="s">
        <v>3</v>
      </c>
      <c r="E84" s="5">
        <v>3.5</v>
      </c>
      <c r="F84" s="12" t="s">
        <v>26</v>
      </c>
      <c r="G84" s="13">
        <v>2500</v>
      </c>
      <c r="H84" s="9">
        <v>47468706</v>
      </c>
      <c r="I84" s="13">
        <v>2500</v>
      </c>
      <c r="J84" s="9">
        <v>47535298</v>
      </c>
      <c r="K84" s="13">
        <v>2500</v>
      </c>
      <c r="L84" s="9">
        <v>47468706</v>
      </c>
    </row>
    <row r="85" spans="2:12" ht="16.5" customHeight="1">
      <c r="B85" s="1" t="s">
        <v>9</v>
      </c>
      <c r="C85" s="6" t="s">
        <v>13</v>
      </c>
      <c r="D85" s="6" t="s">
        <v>3</v>
      </c>
      <c r="E85" s="5">
        <v>3.5</v>
      </c>
      <c r="F85" s="12" t="s">
        <v>26</v>
      </c>
      <c r="G85" s="13">
        <v>1265</v>
      </c>
      <c r="H85" s="9">
        <v>47468706</v>
      </c>
      <c r="I85" s="13">
        <v>1265</v>
      </c>
      <c r="J85" s="9">
        <v>47535298</v>
      </c>
      <c r="K85" s="13">
        <v>1265</v>
      </c>
      <c r="L85" s="9">
        <v>47468706</v>
      </c>
    </row>
    <row r="86" spans="2:12" ht="16.5" customHeight="1">
      <c r="B86" s="1" t="s">
        <v>8</v>
      </c>
      <c r="C86" s="6" t="s">
        <v>13</v>
      </c>
      <c r="D86" s="6" t="s">
        <v>3</v>
      </c>
      <c r="E86" s="5">
        <v>3.5</v>
      </c>
      <c r="F86" s="12" t="s">
        <v>26</v>
      </c>
      <c r="G86" s="13">
        <v>2636</v>
      </c>
      <c r="H86" s="9">
        <v>47468706</v>
      </c>
      <c r="I86" s="9">
        <v>2693</v>
      </c>
      <c r="J86" s="9">
        <v>47535298</v>
      </c>
      <c r="K86" s="13">
        <v>3110</v>
      </c>
      <c r="L86" s="9">
        <v>47468706</v>
      </c>
    </row>
    <row r="87" spans="2:12" ht="16.5" customHeight="1">
      <c r="B87" s="23" t="s">
        <v>7</v>
      </c>
      <c r="C87" s="4" t="s">
        <v>13</v>
      </c>
      <c r="D87" s="4" t="s">
        <v>3</v>
      </c>
      <c r="E87" s="3">
        <v>3.5</v>
      </c>
      <c r="F87" s="16" t="s">
        <v>26</v>
      </c>
      <c r="G87" s="10">
        <v>1040</v>
      </c>
      <c r="H87" s="9">
        <v>47468706</v>
      </c>
      <c r="I87" s="11">
        <v>1157</v>
      </c>
      <c r="J87" s="9">
        <v>47535298</v>
      </c>
      <c r="K87" s="10">
        <v>1137</v>
      </c>
      <c r="L87" s="9">
        <v>47468706</v>
      </c>
    </row>
    <row r="88" spans="2:12" ht="16.5" customHeight="1">
      <c r="B88" s="196" t="s">
        <v>4</v>
      </c>
      <c r="C88" s="8" t="s">
        <v>13</v>
      </c>
      <c r="D88" s="8" t="s">
        <v>3</v>
      </c>
      <c r="E88" s="7">
        <v>4</v>
      </c>
      <c r="F88" s="2" t="s">
        <v>26</v>
      </c>
      <c r="G88" s="197">
        <f>$E88</f>
        <v>4</v>
      </c>
      <c r="H88" s="14">
        <v>47468707</v>
      </c>
      <c r="I88" s="197">
        <f>$E88</f>
        <v>4</v>
      </c>
      <c r="J88" s="14">
        <v>47535299</v>
      </c>
      <c r="K88" s="197">
        <f>$E88</f>
        <v>4</v>
      </c>
      <c r="L88" s="14">
        <v>47468707</v>
      </c>
    </row>
    <row r="89" spans="2:12" ht="16.5" customHeight="1">
      <c r="B89" s="1" t="s">
        <v>11</v>
      </c>
      <c r="C89" s="6" t="s">
        <v>13</v>
      </c>
      <c r="D89" s="6" t="s">
        <v>3</v>
      </c>
      <c r="E89" s="5">
        <v>4</v>
      </c>
      <c r="F89" s="12" t="s">
        <v>26</v>
      </c>
      <c r="G89" s="13">
        <v>930</v>
      </c>
      <c r="H89" s="9">
        <v>47468707</v>
      </c>
      <c r="I89" s="9">
        <v>865</v>
      </c>
      <c r="J89" s="9">
        <v>47535299</v>
      </c>
      <c r="K89" s="13">
        <v>780</v>
      </c>
      <c r="L89" s="9">
        <v>47468707</v>
      </c>
    </row>
    <row r="90" spans="2:12" ht="16.5" customHeight="1">
      <c r="B90" s="1" t="s">
        <v>10</v>
      </c>
      <c r="C90" s="6" t="s">
        <v>13</v>
      </c>
      <c r="D90" s="6" t="s">
        <v>3</v>
      </c>
      <c r="E90" s="5">
        <v>4</v>
      </c>
      <c r="F90" s="12" t="s">
        <v>26</v>
      </c>
      <c r="G90" s="13">
        <v>2500</v>
      </c>
      <c r="H90" s="9">
        <v>47468707</v>
      </c>
      <c r="I90" s="13">
        <v>2500</v>
      </c>
      <c r="J90" s="9">
        <v>47535299</v>
      </c>
      <c r="K90" s="13">
        <v>2500</v>
      </c>
      <c r="L90" s="9">
        <v>47468707</v>
      </c>
    </row>
    <row r="91" spans="2:12" ht="16.5" customHeight="1">
      <c r="B91" s="1" t="s">
        <v>9</v>
      </c>
      <c r="C91" s="6" t="s">
        <v>13</v>
      </c>
      <c r="D91" s="6" t="s">
        <v>3</v>
      </c>
      <c r="E91" s="5">
        <v>4</v>
      </c>
      <c r="F91" s="12" t="s">
        <v>26</v>
      </c>
      <c r="G91" s="13">
        <v>1315</v>
      </c>
      <c r="H91" s="9">
        <v>47468707</v>
      </c>
      <c r="I91" s="13">
        <v>1315</v>
      </c>
      <c r="J91" s="9">
        <v>47535299</v>
      </c>
      <c r="K91" s="13">
        <v>1315</v>
      </c>
      <c r="L91" s="9">
        <v>47468707</v>
      </c>
    </row>
    <row r="92" spans="2:12" ht="16.5" customHeight="1">
      <c r="B92" s="1" t="s">
        <v>8</v>
      </c>
      <c r="C92" s="6" t="s">
        <v>13</v>
      </c>
      <c r="D92" s="6" t="s">
        <v>3</v>
      </c>
      <c r="E92" s="5">
        <v>4</v>
      </c>
      <c r="F92" s="12" t="s">
        <v>26</v>
      </c>
      <c r="G92" s="13">
        <v>2428</v>
      </c>
      <c r="H92" s="9">
        <v>47468707</v>
      </c>
      <c r="I92" s="9">
        <v>2486</v>
      </c>
      <c r="J92" s="9">
        <v>47535299</v>
      </c>
      <c r="K92" s="13">
        <v>2917</v>
      </c>
      <c r="L92" s="9">
        <v>47468707</v>
      </c>
    </row>
    <row r="93" spans="2:12" ht="16.5" customHeight="1">
      <c r="B93" s="23" t="s">
        <v>7</v>
      </c>
      <c r="C93" s="4" t="s">
        <v>13</v>
      </c>
      <c r="D93" s="4" t="s">
        <v>3</v>
      </c>
      <c r="E93" s="3">
        <v>4</v>
      </c>
      <c r="F93" s="16" t="s">
        <v>26</v>
      </c>
      <c r="G93" s="10">
        <v>1247</v>
      </c>
      <c r="H93" s="9">
        <v>47468707</v>
      </c>
      <c r="I93" s="11">
        <v>1364</v>
      </c>
      <c r="J93" s="9">
        <v>47535299</v>
      </c>
      <c r="K93" s="10">
        <v>1359</v>
      </c>
      <c r="L93" s="9">
        <v>47468707</v>
      </c>
    </row>
    <row r="94" spans="2:12" ht="16.5" customHeight="1">
      <c r="B94" s="196" t="s">
        <v>4</v>
      </c>
      <c r="C94" s="8" t="s">
        <v>13</v>
      </c>
      <c r="D94" s="8" t="s">
        <v>3</v>
      </c>
      <c r="E94" s="7">
        <v>4.5</v>
      </c>
      <c r="F94" s="2" t="s">
        <v>26</v>
      </c>
      <c r="G94" s="197">
        <f>$E94</f>
        <v>4.5</v>
      </c>
      <c r="H94" s="14">
        <v>47468708</v>
      </c>
      <c r="I94" s="197">
        <f>$E94</f>
        <v>4.5</v>
      </c>
      <c r="J94" s="14">
        <v>47535300</v>
      </c>
      <c r="K94" s="197">
        <f>$E94</f>
        <v>4.5</v>
      </c>
      <c r="L94" s="14">
        <v>47468708</v>
      </c>
    </row>
    <row r="95" spans="2:12" ht="16.5" customHeight="1">
      <c r="B95" s="1" t="s">
        <v>11</v>
      </c>
      <c r="C95" s="6" t="s">
        <v>13</v>
      </c>
      <c r="D95" s="6" t="s">
        <v>3</v>
      </c>
      <c r="E95" s="5">
        <v>4.5</v>
      </c>
      <c r="F95" s="12" t="s">
        <v>26</v>
      </c>
      <c r="G95" s="13">
        <v>820</v>
      </c>
      <c r="H95" s="9">
        <v>47468708</v>
      </c>
      <c r="I95" s="9">
        <v>760</v>
      </c>
      <c r="J95" s="9">
        <v>47535300</v>
      </c>
      <c r="K95" s="13">
        <v>690</v>
      </c>
      <c r="L95" s="9">
        <v>47468708</v>
      </c>
    </row>
    <row r="96" spans="2:12" ht="16.5" customHeight="1">
      <c r="B96" s="1" t="s">
        <v>10</v>
      </c>
      <c r="C96" s="6" t="s">
        <v>13</v>
      </c>
      <c r="D96" s="6" t="s">
        <v>3</v>
      </c>
      <c r="E96" s="5">
        <v>4.5</v>
      </c>
      <c r="F96" s="12" t="s">
        <v>26</v>
      </c>
      <c r="G96" s="13">
        <v>2750</v>
      </c>
      <c r="H96" s="9">
        <v>47468708</v>
      </c>
      <c r="I96" s="13">
        <v>2750</v>
      </c>
      <c r="J96" s="9">
        <v>47535300</v>
      </c>
      <c r="K96" s="13">
        <v>2750</v>
      </c>
      <c r="L96" s="9">
        <v>47468708</v>
      </c>
    </row>
    <row r="97" spans="1:12" ht="16.5" customHeight="1">
      <c r="B97" s="1" t="s">
        <v>9</v>
      </c>
      <c r="C97" s="6" t="s">
        <v>13</v>
      </c>
      <c r="D97" s="6" t="s">
        <v>3</v>
      </c>
      <c r="E97" s="5">
        <v>4.5</v>
      </c>
      <c r="F97" s="12" t="s">
        <v>26</v>
      </c>
      <c r="G97" s="13">
        <v>1365</v>
      </c>
      <c r="H97" s="9">
        <v>47468708</v>
      </c>
      <c r="I97" s="13">
        <v>1365</v>
      </c>
      <c r="J97" s="9">
        <v>47535300</v>
      </c>
      <c r="K97" s="13">
        <v>1365</v>
      </c>
      <c r="L97" s="9">
        <v>47468708</v>
      </c>
    </row>
    <row r="98" spans="1:12" ht="16.5" customHeight="1">
      <c r="B98" s="1" t="s">
        <v>8</v>
      </c>
      <c r="C98" s="6" t="s">
        <v>13</v>
      </c>
      <c r="D98" s="6" t="s">
        <v>3</v>
      </c>
      <c r="E98" s="5">
        <v>4.5</v>
      </c>
      <c r="F98" s="12" t="s">
        <v>26</v>
      </c>
      <c r="G98" s="13">
        <v>2428</v>
      </c>
      <c r="H98" s="9">
        <v>47468708</v>
      </c>
      <c r="I98" s="9">
        <v>2485</v>
      </c>
      <c r="J98" s="9">
        <v>47535300</v>
      </c>
      <c r="K98" s="13">
        <v>2917</v>
      </c>
      <c r="L98" s="9">
        <v>47468708</v>
      </c>
    </row>
    <row r="99" spans="1:12" ht="16.5" customHeight="1">
      <c r="B99" s="23" t="s">
        <v>7</v>
      </c>
      <c r="C99" s="4" t="s">
        <v>13</v>
      </c>
      <c r="D99" s="4" t="s">
        <v>3</v>
      </c>
      <c r="E99" s="3">
        <v>4.5</v>
      </c>
      <c r="F99" s="16" t="s">
        <v>26</v>
      </c>
      <c r="G99" s="13">
        <v>1247</v>
      </c>
      <c r="H99" s="9">
        <v>47468708</v>
      </c>
      <c r="I99" s="9">
        <v>1364</v>
      </c>
      <c r="J99" s="9">
        <v>47535300</v>
      </c>
      <c r="K99" s="13">
        <v>1359</v>
      </c>
      <c r="L99" s="9">
        <v>47468708</v>
      </c>
    </row>
    <row r="100" spans="1:12" ht="16.5" customHeight="1">
      <c r="B100" s="196" t="s">
        <v>4</v>
      </c>
      <c r="C100" s="8" t="s">
        <v>13</v>
      </c>
      <c r="D100" s="8" t="s">
        <v>3</v>
      </c>
      <c r="E100" s="7">
        <v>5</v>
      </c>
      <c r="F100" s="15" t="s">
        <v>26</v>
      </c>
      <c r="G100" s="197">
        <f>$E100</f>
        <v>5</v>
      </c>
      <c r="H100" s="14">
        <v>47468710</v>
      </c>
      <c r="I100" s="197">
        <f>$E100</f>
        <v>5</v>
      </c>
      <c r="J100" s="14">
        <v>47535301</v>
      </c>
      <c r="K100" s="197">
        <f>$E100</f>
        <v>5</v>
      </c>
      <c r="L100" s="14">
        <v>47468710</v>
      </c>
    </row>
    <row r="101" spans="1:12" ht="16.5" customHeight="1">
      <c r="B101" s="1" t="s">
        <v>11</v>
      </c>
      <c r="C101" s="6" t="s">
        <v>13</v>
      </c>
      <c r="D101" s="6" t="s">
        <v>3</v>
      </c>
      <c r="E101" s="5">
        <v>5</v>
      </c>
      <c r="F101" s="12" t="s">
        <v>26</v>
      </c>
      <c r="G101" s="13">
        <v>730</v>
      </c>
      <c r="H101" s="9">
        <v>47468710</v>
      </c>
      <c r="I101" s="9">
        <v>675</v>
      </c>
      <c r="J101" s="9">
        <v>47535301</v>
      </c>
      <c r="K101" s="13">
        <v>610</v>
      </c>
      <c r="L101" s="9">
        <v>47468710</v>
      </c>
    </row>
    <row r="102" spans="1:12" ht="16.5" customHeight="1">
      <c r="B102" s="1" t="s">
        <v>10</v>
      </c>
      <c r="C102" s="6" t="s">
        <v>13</v>
      </c>
      <c r="D102" s="6" t="s">
        <v>3</v>
      </c>
      <c r="E102" s="5">
        <v>5</v>
      </c>
      <c r="F102" s="12" t="s">
        <v>26</v>
      </c>
      <c r="G102" s="13">
        <v>3000</v>
      </c>
      <c r="H102" s="9">
        <v>47468710</v>
      </c>
      <c r="I102" s="13">
        <v>3000</v>
      </c>
      <c r="J102" s="9">
        <v>47535301</v>
      </c>
      <c r="K102" s="13">
        <v>3000</v>
      </c>
      <c r="L102" s="9">
        <v>47468710</v>
      </c>
    </row>
    <row r="103" spans="1:12" ht="16.5" customHeight="1">
      <c r="B103" s="1" t="s">
        <v>9</v>
      </c>
      <c r="C103" s="6" t="s">
        <v>13</v>
      </c>
      <c r="D103" s="6" t="s">
        <v>3</v>
      </c>
      <c r="E103" s="5">
        <v>5</v>
      </c>
      <c r="F103" s="12" t="s">
        <v>26</v>
      </c>
      <c r="G103" s="13">
        <v>1465</v>
      </c>
      <c r="H103" s="9">
        <v>47468710</v>
      </c>
      <c r="I103" s="13">
        <v>1465</v>
      </c>
      <c r="J103" s="9">
        <v>47535301</v>
      </c>
      <c r="K103" s="13">
        <v>1465</v>
      </c>
      <c r="L103" s="9">
        <v>47468710</v>
      </c>
    </row>
    <row r="104" spans="1:12" ht="16.5" customHeight="1">
      <c r="B104" s="1" t="s">
        <v>8</v>
      </c>
      <c r="C104" s="6" t="s">
        <v>13</v>
      </c>
      <c r="D104" s="6" t="s">
        <v>3</v>
      </c>
      <c r="E104" s="5">
        <v>5</v>
      </c>
      <c r="F104" s="12" t="s">
        <v>26</v>
      </c>
      <c r="G104" s="13">
        <v>2428</v>
      </c>
      <c r="H104" s="9">
        <v>47468710</v>
      </c>
      <c r="I104" s="9">
        <v>2485</v>
      </c>
      <c r="J104" s="9">
        <v>47535301</v>
      </c>
      <c r="K104" s="13">
        <v>2917</v>
      </c>
      <c r="L104" s="9">
        <v>47468710</v>
      </c>
    </row>
    <row r="105" spans="1:12" ht="16.5" customHeight="1">
      <c r="B105" s="23" t="s">
        <v>7</v>
      </c>
      <c r="C105" s="4" t="s">
        <v>13</v>
      </c>
      <c r="D105" s="4" t="s">
        <v>3</v>
      </c>
      <c r="E105" s="3">
        <v>5</v>
      </c>
      <c r="F105" s="12" t="s">
        <v>26</v>
      </c>
      <c r="G105" s="10">
        <v>1247</v>
      </c>
      <c r="H105" s="9">
        <v>47468710</v>
      </c>
      <c r="I105" s="11">
        <v>1364</v>
      </c>
      <c r="J105" s="9">
        <v>47535301</v>
      </c>
      <c r="K105" s="10">
        <v>1359</v>
      </c>
      <c r="L105" s="9">
        <v>47468710</v>
      </c>
    </row>
    <row r="106" spans="1:12" ht="16.5" customHeight="1">
      <c r="A106" s="203">
        <v>5570</v>
      </c>
      <c r="B106" s="196" t="s">
        <v>4</v>
      </c>
      <c r="C106" s="8" t="s">
        <v>12</v>
      </c>
      <c r="D106" s="8" t="s">
        <v>19</v>
      </c>
      <c r="E106" s="7">
        <v>3</v>
      </c>
      <c r="F106" s="15" t="s">
        <v>26</v>
      </c>
      <c r="G106" s="197">
        <f>$E106</f>
        <v>3</v>
      </c>
      <c r="H106" s="14">
        <v>47468711</v>
      </c>
      <c r="I106" s="197">
        <f>$E106</f>
        <v>3</v>
      </c>
      <c r="J106" s="204">
        <v>47775976</v>
      </c>
      <c r="K106" s="197">
        <f>$E106</f>
        <v>3</v>
      </c>
      <c r="L106" s="14">
        <v>47468711</v>
      </c>
    </row>
    <row r="107" spans="1:12" ht="16.5" customHeight="1">
      <c r="B107" s="1" t="s">
        <v>11</v>
      </c>
      <c r="C107" s="6" t="s">
        <v>12</v>
      </c>
      <c r="D107" s="6" t="s">
        <v>19</v>
      </c>
      <c r="E107" s="5">
        <v>3</v>
      </c>
      <c r="F107" s="12" t="s">
        <v>26</v>
      </c>
      <c r="G107" s="18">
        <v>1100</v>
      </c>
      <c r="H107" s="9">
        <v>47468711</v>
      </c>
      <c r="I107" s="18">
        <v>980</v>
      </c>
      <c r="J107" s="9">
        <v>47468711</v>
      </c>
      <c r="K107" s="18">
        <v>920</v>
      </c>
      <c r="L107" s="9">
        <v>47468711</v>
      </c>
    </row>
    <row r="108" spans="1:12" ht="16.5" customHeight="1">
      <c r="B108" s="1" t="s">
        <v>10</v>
      </c>
      <c r="C108" s="6" t="s">
        <v>12</v>
      </c>
      <c r="D108" s="6" t="s">
        <v>19</v>
      </c>
      <c r="E108" s="5">
        <v>3</v>
      </c>
      <c r="F108" s="12" t="s">
        <v>26</v>
      </c>
      <c r="G108" s="18">
        <v>2500</v>
      </c>
      <c r="H108" s="9">
        <v>47468711</v>
      </c>
      <c r="I108" s="18">
        <v>2500</v>
      </c>
      <c r="J108" s="9">
        <v>47468711</v>
      </c>
      <c r="K108" s="18">
        <v>2500</v>
      </c>
      <c r="L108" s="9">
        <v>47468711</v>
      </c>
    </row>
    <row r="109" spans="1:12" ht="16.5" customHeight="1">
      <c r="B109" s="1" t="s">
        <v>9</v>
      </c>
      <c r="C109" s="6" t="s">
        <v>12</v>
      </c>
      <c r="D109" s="6" t="s">
        <v>19</v>
      </c>
      <c r="E109" s="5">
        <v>3</v>
      </c>
      <c r="F109" s="12" t="s">
        <v>26</v>
      </c>
      <c r="G109" s="18">
        <v>1550</v>
      </c>
      <c r="H109" s="9">
        <v>47468711</v>
      </c>
      <c r="I109" s="18">
        <v>1882</v>
      </c>
      <c r="J109" s="9">
        <v>47468711</v>
      </c>
      <c r="K109" s="18">
        <v>1550</v>
      </c>
      <c r="L109" s="9">
        <v>47468711</v>
      </c>
    </row>
    <row r="110" spans="1:12" ht="16.5" customHeight="1">
      <c r="B110" s="1" t="s">
        <v>8</v>
      </c>
      <c r="C110" s="6" t="s">
        <v>12</v>
      </c>
      <c r="D110" s="6" t="s">
        <v>19</v>
      </c>
      <c r="E110" s="5">
        <v>3</v>
      </c>
      <c r="F110" s="12" t="s">
        <v>26</v>
      </c>
      <c r="G110" s="20">
        <v>4496</v>
      </c>
      <c r="H110" s="9">
        <v>47468711</v>
      </c>
      <c r="I110" s="20">
        <v>4440</v>
      </c>
      <c r="J110" s="9">
        <v>47468711</v>
      </c>
      <c r="K110" s="20">
        <v>5008</v>
      </c>
      <c r="L110" s="9">
        <v>47468711</v>
      </c>
    </row>
    <row r="111" spans="1:12" ht="16.5" customHeight="1">
      <c r="B111" s="23" t="s">
        <v>7</v>
      </c>
      <c r="C111" s="4" t="s">
        <v>12</v>
      </c>
      <c r="D111" s="4" t="s">
        <v>19</v>
      </c>
      <c r="E111" s="3">
        <v>3</v>
      </c>
      <c r="F111" s="12" t="s">
        <v>26</v>
      </c>
      <c r="G111" s="19">
        <v>1575</v>
      </c>
      <c r="H111" s="9">
        <v>47468711</v>
      </c>
      <c r="I111" s="19">
        <v>1757</v>
      </c>
      <c r="J111" s="9">
        <v>47468711</v>
      </c>
      <c r="K111" s="19">
        <v>1537</v>
      </c>
      <c r="L111" s="9">
        <v>47468711</v>
      </c>
    </row>
    <row r="112" spans="1:12" ht="16.5" customHeight="1">
      <c r="B112" s="196" t="s">
        <v>4</v>
      </c>
      <c r="C112" s="8" t="s">
        <v>12</v>
      </c>
      <c r="D112" s="8" t="s">
        <v>3</v>
      </c>
      <c r="E112" s="7">
        <v>3</v>
      </c>
      <c r="F112" s="2" t="s">
        <v>26</v>
      </c>
      <c r="G112" s="197">
        <f>$E112</f>
        <v>3</v>
      </c>
      <c r="H112" s="14">
        <v>47468712</v>
      </c>
      <c r="I112" s="197">
        <f>$E112</f>
        <v>3</v>
      </c>
      <c r="J112" s="14">
        <v>47535302</v>
      </c>
      <c r="K112" s="197">
        <f>$E112</f>
        <v>3</v>
      </c>
      <c r="L112" s="14">
        <v>47468712</v>
      </c>
    </row>
    <row r="113" spans="2:12" ht="16.5" customHeight="1">
      <c r="B113" s="1" t="s">
        <v>11</v>
      </c>
      <c r="C113" s="6" t="s">
        <v>12</v>
      </c>
      <c r="D113" s="6" t="s">
        <v>3</v>
      </c>
      <c r="E113" s="5">
        <v>3</v>
      </c>
      <c r="F113" s="12" t="s">
        <v>26</v>
      </c>
      <c r="G113" s="18">
        <v>1140</v>
      </c>
      <c r="H113" s="9">
        <v>47468712</v>
      </c>
      <c r="I113" s="20">
        <v>1060</v>
      </c>
      <c r="J113" s="9">
        <v>47535302</v>
      </c>
      <c r="K113" s="18">
        <v>950</v>
      </c>
      <c r="L113" s="9">
        <v>47468712</v>
      </c>
    </row>
    <row r="114" spans="2:12" ht="16.5" customHeight="1">
      <c r="B114" s="1" t="s">
        <v>10</v>
      </c>
      <c r="C114" s="6" t="s">
        <v>12</v>
      </c>
      <c r="D114" s="6" t="s">
        <v>3</v>
      </c>
      <c r="E114" s="5">
        <v>3</v>
      </c>
      <c r="F114" s="12" t="s">
        <v>26</v>
      </c>
      <c r="G114" s="18">
        <v>2500</v>
      </c>
      <c r="H114" s="9">
        <v>47468712</v>
      </c>
      <c r="I114" s="18">
        <v>2500</v>
      </c>
      <c r="J114" s="9">
        <v>47535302</v>
      </c>
      <c r="K114" s="18">
        <v>2500</v>
      </c>
      <c r="L114" s="9">
        <v>47468712</v>
      </c>
    </row>
    <row r="115" spans="2:12" ht="16.5" customHeight="1">
      <c r="B115" s="1" t="s">
        <v>9</v>
      </c>
      <c r="C115" s="6" t="s">
        <v>12</v>
      </c>
      <c r="D115" s="6" t="s">
        <v>3</v>
      </c>
      <c r="E115" s="5">
        <v>3</v>
      </c>
      <c r="F115" s="12" t="s">
        <v>26</v>
      </c>
      <c r="G115" s="18">
        <v>1650</v>
      </c>
      <c r="H115" s="9">
        <v>47468712</v>
      </c>
      <c r="I115" s="18">
        <v>1650</v>
      </c>
      <c r="J115" s="9">
        <v>47535302</v>
      </c>
      <c r="K115" s="18">
        <v>1650</v>
      </c>
      <c r="L115" s="9">
        <v>47468712</v>
      </c>
    </row>
    <row r="116" spans="2:12" ht="16.5" customHeight="1">
      <c r="B116" s="1" t="s">
        <v>8</v>
      </c>
      <c r="C116" s="6" t="s">
        <v>12</v>
      </c>
      <c r="D116" s="6" t="s">
        <v>3</v>
      </c>
      <c r="E116" s="5">
        <v>3</v>
      </c>
      <c r="F116" s="12" t="s">
        <v>26</v>
      </c>
      <c r="G116" s="20">
        <v>4255</v>
      </c>
      <c r="H116" s="9">
        <v>47468712</v>
      </c>
      <c r="I116" s="20">
        <v>4323</v>
      </c>
      <c r="J116" s="9">
        <v>47535302</v>
      </c>
      <c r="K116" s="20">
        <v>4754</v>
      </c>
      <c r="L116" s="9">
        <v>47468712</v>
      </c>
    </row>
    <row r="117" spans="2:12" ht="16.5" customHeight="1">
      <c r="B117" s="23" t="s">
        <v>7</v>
      </c>
      <c r="C117" s="4" t="s">
        <v>12</v>
      </c>
      <c r="D117" s="4" t="s">
        <v>3</v>
      </c>
      <c r="E117" s="3">
        <v>3</v>
      </c>
      <c r="F117" s="16" t="s">
        <v>26</v>
      </c>
      <c r="G117" s="19">
        <v>1370</v>
      </c>
      <c r="H117" s="9">
        <v>47468712</v>
      </c>
      <c r="I117" s="19">
        <v>1500</v>
      </c>
      <c r="J117" s="9">
        <v>47535302</v>
      </c>
      <c r="K117" s="19">
        <v>1351</v>
      </c>
      <c r="L117" s="9">
        <v>47468712</v>
      </c>
    </row>
    <row r="118" spans="2:12" ht="16.5" customHeight="1">
      <c r="B118" s="196" t="s">
        <v>4</v>
      </c>
      <c r="C118" s="8" t="s">
        <v>12</v>
      </c>
      <c r="D118" s="8" t="s">
        <v>3</v>
      </c>
      <c r="E118" s="7">
        <v>3.5</v>
      </c>
      <c r="F118" s="2" t="s">
        <v>26</v>
      </c>
      <c r="G118" s="197">
        <f>$E118</f>
        <v>3.5</v>
      </c>
      <c r="H118" s="14">
        <v>47468713</v>
      </c>
      <c r="I118" s="197">
        <f>$E118</f>
        <v>3.5</v>
      </c>
      <c r="J118" s="14">
        <v>47535303</v>
      </c>
      <c r="K118" s="197">
        <f>$E118</f>
        <v>3.5</v>
      </c>
      <c r="L118" s="14">
        <v>47468713</v>
      </c>
    </row>
    <row r="119" spans="2:12" ht="16.5" customHeight="1">
      <c r="B119" s="1" t="s">
        <v>11</v>
      </c>
      <c r="C119" s="6" t="s">
        <v>12</v>
      </c>
      <c r="D119" s="6" t="s">
        <v>3</v>
      </c>
      <c r="E119" s="5">
        <v>3.5</v>
      </c>
      <c r="F119" s="12" t="s">
        <v>26</v>
      </c>
      <c r="G119" s="18">
        <v>960</v>
      </c>
      <c r="H119" s="9">
        <v>47468713</v>
      </c>
      <c r="I119" s="20">
        <v>890</v>
      </c>
      <c r="J119" s="9">
        <v>47535303</v>
      </c>
      <c r="K119" s="18">
        <v>800</v>
      </c>
      <c r="L119" s="9">
        <v>47468713</v>
      </c>
    </row>
    <row r="120" spans="2:12" ht="16.5" customHeight="1">
      <c r="B120" s="1" t="s">
        <v>10</v>
      </c>
      <c r="C120" s="6" t="s">
        <v>12</v>
      </c>
      <c r="D120" s="6" t="s">
        <v>3</v>
      </c>
      <c r="E120" s="5">
        <v>3.5</v>
      </c>
      <c r="F120" s="12" t="s">
        <v>26</v>
      </c>
      <c r="G120" s="18">
        <v>2500</v>
      </c>
      <c r="H120" s="9">
        <v>47468713</v>
      </c>
      <c r="I120" s="18">
        <v>2500</v>
      </c>
      <c r="J120" s="9">
        <v>47535303</v>
      </c>
      <c r="K120" s="18">
        <v>2500</v>
      </c>
      <c r="L120" s="9">
        <v>47468713</v>
      </c>
    </row>
    <row r="121" spans="2:12" ht="16.5" customHeight="1">
      <c r="B121" s="1" t="s">
        <v>9</v>
      </c>
      <c r="C121" s="6" t="s">
        <v>12</v>
      </c>
      <c r="D121" s="6" t="s">
        <v>3</v>
      </c>
      <c r="E121" s="5">
        <v>3.5</v>
      </c>
      <c r="F121" s="12" t="s">
        <v>26</v>
      </c>
      <c r="G121" s="18">
        <v>1750</v>
      </c>
      <c r="H121" s="9">
        <v>47468713</v>
      </c>
      <c r="I121" s="18">
        <v>1750</v>
      </c>
      <c r="J121" s="9">
        <v>47535303</v>
      </c>
      <c r="K121" s="18">
        <v>1750</v>
      </c>
      <c r="L121" s="9">
        <v>47468713</v>
      </c>
    </row>
    <row r="122" spans="2:12" ht="16.5" customHeight="1">
      <c r="B122" s="1" t="s">
        <v>8</v>
      </c>
      <c r="C122" s="6" t="s">
        <v>12</v>
      </c>
      <c r="D122" s="6" t="s">
        <v>3</v>
      </c>
      <c r="E122" s="5">
        <v>3.5</v>
      </c>
      <c r="F122" s="12" t="s">
        <v>26</v>
      </c>
      <c r="G122" s="20">
        <v>4255</v>
      </c>
      <c r="H122" s="9">
        <v>47468713</v>
      </c>
      <c r="I122" s="20">
        <v>4322</v>
      </c>
      <c r="J122" s="9">
        <v>47535303</v>
      </c>
      <c r="K122" s="20">
        <v>4754</v>
      </c>
      <c r="L122" s="9">
        <v>47468713</v>
      </c>
    </row>
    <row r="123" spans="2:12" ht="16.5" customHeight="1">
      <c r="B123" s="23" t="s">
        <v>7</v>
      </c>
      <c r="C123" s="4" t="s">
        <v>12</v>
      </c>
      <c r="D123" s="4" t="s">
        <v>3</v>
      </c>
      <c r="E123" s="3">
        <v>3.5</v>
      </c>
      <c r="F123" s="16" t="s">
        <v>26</v>
      </c>
      <c r="G123" s="19">
        <v>1370</v>
      </c>
      <c r="H123" s="9">
        <v>47468713</v>
      </c>
      <c r="I123" s="19">
        <v>1500</v>
      </c>
      <c r="J123" s="9">
        <v>47535303</v>
      </c>
      <c r="K123" s="19">
        <v>1351</v>
      </c>
      <c r="L123" s="9">
        <v>47468713</v>
      </c>
    </row>
    <row r="124" spans="2:12" ht="16.5" customHeight="1">
      <c r="B124" s="196" t="s">
        <v>4</v>
      </c>
      <c r="C124" s="8" t="s">
        <v>12</v>
      </c>
      <c r="D124" s="8" t="s">
        <v>3</v>
      </c>
      <c r="E124" s="7">
        <v>4</v>
      </c>
      <c r="F124" s="15" t="s">
        <v>26</v>
      </c>
      <c r="G124" s="197">
        <f>$E124</f>
        <v>4</v>
      </c>
      <c r="H124" s="14">
        <v>47468714</v>
      </c>
      <c r="I124" s="197">
        <f>$E124</f>
        <v>4</v>
      </c>
      <c r="J124" s="14">
        <v>47535304</v>
      </c>
      <c r="K124" s="197">
        <f>$E124</f>
        <v>4</v>
      </c>
      <c r="L124" s="14">
        <v>47468714</v>
      </c>
    </row>
    <row r="125" spans="2:12" ht="16.5" customHeight="1">
      <c r="B125" s="1" t="s">
        <v>11</v>
      </c>
      <c r="C125" s="6" t="s">
        <v>12</v>
      </c>
      <c r="D125" s="6" t="s">
        <v>3</v>
      </c>
      <c r="E125" s="5">
        <v>4</v>
      </c>
      <c r="F125" s="12" t="s">
        <v>26</v>
      </c>
      <c r="G125" s="18">
        <v>830</v>
      </c>
      <c r="H125" s="9">
        <v>47468714</v>
      </c>
      <c r="I125" s="20">
        <v>765</v>
      </c>
      <c r="J125" s="9">
        <v>47535304</v>
      </c>
      <c r="K125" s="18">
        <v>685</v>
      </c>
      <c r="L125" s="9">
        <v>47468714</v>
      </c>
    </row>
    <row r="126" spans="2:12" ht="16.5" customHeight="1">
      <c r="B126" s="1" t="s">
        <v>10</v>
      </c>
      <c r="C126" s="6" t="s">
        <v>12</v>
      </c>
      <c r="D126" s="6" t="s">
        <v>3</v>
      </c>
      <c r="E126" s="5">
        <v>4</v>
      </c>
      <c r="F126" s="12" t="s">
        <v>26</v>
      </c>
      <c r="G126" s="18">
        <v>2850</v>
      </c>
      <c r="H126" s="9">
        <v>47468714</v>
      </c>
      <c r="I126" s="18">
        <v>2850</v>
      </c>
      <c r="J126" s="9">
        <v>47535304</v>
      </c>
      <c r="K126" s="18">
        <v>2850</v>
      </c>
      <c r="L126" s="9">
        <v>47468714</v>
      </c>
    </row>
    <row r="127" spans="2:12" ht="16.5" customHeight="1">
      <c r="B127" s="1" t="s">
        <v>9</v>
      </c>
      <c r="C127" s="6" t="s">
        <v>12</v>
      </c>
      <c r="D127" s="6" t="s">
        <v>3</v>
      </c>
      <c r="E127" s="5">
        <v>4</v>
      </c>
      <c r="F127" s="12" t="s">
        <v>26</v>
      </c>
      <c r="G127" s="18">
        <v>1850</v>
      </c>
      <c r="H127" s="9">
        <v>47468714</v>
      </c>
      <c r="I127" s="18">
        <v>1850</v>
      </c>
      <c r="J127" s="9">
        <v>47535304</v>
      </c>
      <c r="K127" s="18">
        <v>1850</v>
      </c>
      <c r="L127" s="9">
        <v>47468714</v>
      </c>
    </row>
    <row r="128" spans="2:12" ht="16.5" customHeight="1">
      <c r="B128" s="1" t="s">
        <v>8</v>
      </c>
      <c r="C128" s="6" t="s">
        <v>12</v>
      </c>
      <c r="D128" s="6" t="s">
        <v>3</v>
      </c>
      <c r="E128" s="5">
        <v>4</v>
      </c>
      <c r="F128" s="12" t="s">
        <v>26</v>
      </c>
      <c r="G128" s="20">
        <v>4255</v>
      </c>
      <c r="H128" s="9">
        <v>47468714</v>
      </c>
      <c r="I128" s="20">
        <v>4322</v>
      </c>
      <c r="J128" s="9">
        <v>47535304</v>
      </c>
      <c r="K128" s="20">
        <v>4754</v>
      </c>
      <c r="L128" s="9">
        <v>47468714</v>
      </c>
    </row>
    <row r="129" spans="1:12" ht="16.5" customHeight="1">
      <c r="B129" s="23" t="s">
        <v>7</v>
      </c>
      <c r="C129" s="4" t="s">
        <v>12</v>
      </c>
      <c r="D129" s="4" t="s">
        <v>3</v>
      </c>
      <c r="E129" s="3">
        <v>4</v>
      </c>
      <c r="F129" s="12" t="s">
        <v>26</v>
      </c>
      <c r="G129" s="19">
        <v>1370</v>
      </c>
      <c r="H129" s="9">
        <v>47468714</v>
      </c>
      <c r="I129" s="19">
        <v>1500</v>
      </c>
      <c r="J129" s="9">
        <v>47535304</v>
      </c>
      <c r="K129" s="19">
        <v>1351</v>
      </c>
      <c r="L129" s="9">
        <v>47468714</v>
      </c>
    </row>
    <row r="130" spans="1:12" ht="16.5" customHeight="1">
      <c r="A130" s="203">
        <v>6085</v>
      </c>
      <c r="B130" s="196" t="s">
        <v>4</v>
      </c>
      <c r="C130" s="205" t="s">
        <v>146</v>
      </c>
      <c r="D130" s="8" t="s">
        <v>19</v>
      </c>
      <c r="E130" s="7">
        <v>3.5</v>
      </c>
      <c r="F130" s="15" t="s">
        <v>26</v>
      </c>
      <c r="G130" s="197">
        <f>$E130</f>
        <v>3.5</v>
      </c>
      <c r="H130" s="14">
        <v>47468723</v>
      </c>
      <c r="I130" s="197">
        <f>$E130</f>
        <v>3.5</v>
      </c>
      <c r="J130" s="204">
        <v>47775983</v>
      </c>
      <c r="K130" s="197">
        <f>$E130</f>
        <v>3.5</v>
      </c>
      <c r="L130" s="14">
        <v>47468723</v>
      </c>
    </row>
    <row r="131" spans="1:12" ht="16.5" customHeight="1">
      <c r="B131" s="1" t="s">
        <v>11</v>
      </c>
      <c r="C131" s="206" t="s">
        <v>146</v>
      </c>
      <c r="D131" s="6" t="s">
        <v>19</v>
      </c>
      <c r="E131" s="5">
        <v>3.5</v>
      </c>
      <c r="F131" s="12" t="s">
        <v>26</v>
      </c>
      <c r="G131" s="18">
        <v>900</v>
      </c>
      <c r="H131" s="9">
        <v>47468723</v>
      </c>
      <c r="I131" s="18">
        <v>800</v>
      </c>
      <c r="J131" s="9">
        <v>47468723</v>
      </c>
      <c r="K131" s="18">
        <v>730</v>
      </c>
      <c r="L131" s="9">
        <v>47468723</v>
      </c>
    </row>
    <row r="132" spans="1:12" ht="16.5" customHeight="1">
      <c r="B132" s="1" t="s">
        <v>10</v>
      </c>
      <c r="C132" s="206" t="s">
        <v>146</v>
      </c>
      <c r="D132" s="6" t="s">
        <v>19</v>
      </c>
      <c r="E132" s="5">
        <v>3.5</v>
      </c>
      <c r="F132" s="12" t="s">
        <v>26</v>
      </c>
      <c r="G132" s="18">
        <v>2500</v>
      </c>
      <c r="H132" s="9">
        <v>47468723</v>
      </c>
      <c r="I132" s="18">
        <v>2500</v>
      </c>
      <c r="J132" s="9">
        <v>47468723</v>
      </c>
      <c r="K132" s="18">
        <v>2500</v>
      </c>
      <c r="L132" s="9">
        <v>47468723</v>
      </c>
    </row>
    <row r="133" spans="1:12" ht="16.5" customHeight="1">
      <c r="B133" s="1" t="s">
        <v>9</v>
      </c>
      <c r="C133" s="206" t="s">
        <v>146</v>
      </c>
      <c r="D133" s="6" t="s">
        <v>19</v>
      </c>
      <c r="E133" s="5">
        <v>3.5</v>
      </c>
      <c r="F133" s="12" t="s">
        <v>26</v>
      </c>
      <c r="G133" s="18">
        <v>1810</v>
      </c>
      <c r="H133" s="9">
        <v>47468723</v>
      </c>
      <c r="I133" s="18">
        <v>2142</v>
      </c>
      <c r="J133" s="9">
        <v>47468723</v>
      </c>
      <c r="K133" s="18">
        <v>1810</v>
      </c>
      <c r="L133" s="9">
        <v>47468723</v>
      </c>
    </row>
    <row r="134" spans="1:12" ht="16.5" customHeight="1">
      <c r="B134" s="1" t="s">
        <v>8</v>
      </c>
      <c r="C134" s="206" t="s">
        <v>146</v>
      </c>
      <c r="D134" s="6" t="s">
        <v>19</v>
      </c>
      <c r="E134" s="5">
        <v>3.5</v>
      </c>
      <c r="F134" s="12" t="s">
        <v>26</v>
      </c>
      <c r="G134" s="18">
        <v>2296</v>
      </c>
      <c r="H134" s="9">
        <v>47468723</v>
      </c>
      <c r="I134" s="18">
        <v>2261</v>
      </c>
      <c r="J134" s="9">
        <v>47468723</v>
      </c>
      <c r="K134" s="18">
        <v>2792</v>
      </c>
      <c r="L134" s="9">
        <v>47468723</v>
      </c>
    </row>
    <row r="135" spans="1:12" ht="16.5" customHeight="1">
      <c r="B135" s="23" t="s">
        <v>7</v>
      </c>
      <c r="C135" s="207" t="s">
        <v>146</v>
      </c>
      <c r="D135" s="4" t="s">
        <v>19</v>
      </c>
      <c r="E135" s="3">
        <v>3.5</v>
      </c>
      <c r="F135" s="12" t="s">
        <v>26</v>
      </c>
      <c r="G135" s="17">
        <v>1337</v>
      </c>
      <c r="H135" s="9">
        <v>47468723</v>
      </c>
      <c r="I135" s="17">
        <v>1317</v>
      </c>
      <c r="J135" s="9">
        <v>47468723</v>
      </c>
      <c r="K135" s="17">
        <v>1458</v>
      </c>
      <c r="L135" s="9">
        <v>47468723</v>
      </c>
    </row>
    <row r="136" spans="1:12" ht="16.5" customHeight="1">
      <c r="B136" s="196" t="s">
        <v>4</v>
      </c>
      <c r="C136" s="205" t="s">
        <v>146</v>
      </c>
      <c r="D136" s="8" t="s">
        <v>3</v>
      </c>
      <c r="E136" s="7">
        <v>3.5</v>
      </c>
      <c r="F136" s="2" t="s">
        <v>26</v>
      </c>
      <c r="G136" s="197">
        <f>$E136</f>
        <v>3.5</v>
      </c>
      <c r="H136" s="14">
        <v>47468724</v>
      </c>
      <c r="I136" s="197">
        <f>$E136</f>
        <v>3.5</v>
      </c>
      <c r="J136" s="14">
        <v>47535308</v>
      </c>
      <c r="K136" s="197">
        <f>$E136</f>
        <v>3.5</v>
      </c>
      <c r="L136" s="14">
        <v>47468724</v>
      </c>
    </row>
    <row r="137" spans="1:12" ht="16.5" customHeight="1">
      <c r="B137" s="1" t="s">
        <v>11</v>
      </c>
      <c r="C137" s="206" t="s">
        <v>146</v>
      </c>
      <c r="D137" s="6" t="s">
        <v>3</v>
      </c>
      <c r="E137" s="5">
        <v>3.5</v>
      </c>
      <c r="F137" s="12" t="s">
        <v>26</v>
      </c>
      <c r="G137" s="13">
        <v>940</v>
      </c>
      <c r="H137" s="9">
        <v>47468724</v>
      </c>
      <c r="I137" s="9">
        <v>870</v>
      </c>
      <c r="J137" s="9">
        <v>47535308</v>
      </c>
      <c r="K137" s="13">
        <v>775</v>
      </c>
      <c r="L137" s="9">
        <v>47468724</v>
      </c>
    </row>
    <row r="138" spans="1:12" ht="16.5" customHeight="1">
      <c r="B138" s="1" t="s">
        <v>10</v>
      </c>
      <c r="C138" s="206" t="s">
        <v>146</v>
      </c>
      <c r="D138" s="6" t="s">
        <v>3</v>
      </c>
      <c r="E138" s="5">
        <v>3.5</v>
      </c>
      <c r="F138" s="12" t="s">
        <v>26</v>
      </c>
      <c r="G138" s="13">
        <v>2500</v>
      </c>
      <c r="H138" s="9">
        <v>47468724</v>
      </c>
      <c r="I138" s="13">
        <v>2500</v>
      </c>
      <c r="J138" s="9">
        <v>47535308</v>
      </c>
      <c r="K138" s="13">
        <v>2500</v>
      </c>
      <c r="L138" s="9">
        <v>47468724</v>
      </c>
    </row>
    <row r="139" spans="1:12" ht="16.5" customHeight="1">
      <c r="B139" s="1" t="s">
        <v>9</v>
      </c>
      <c r="C139" s="206" t="s">
        <v>146</v>
      </c>
      <c r="D139" s="6" t="s">
        <v>3</v>
      </c>
      <c r="E139" s="5">
        <v>3.5</v>
      </c>
      <c r="F139" s="12" t="s">
        <v>26</v>
      </c>
      <c r="G139" s="13">
        <v>1880</v>
      </c>
      <c r="H139" s="9">
        <v>47468724</v>
      </c>
      <c r="I139" s="13">
        <v>1880</v>
      </c>
      <c r="J139" s="9">
        <v>47535308</v>
      </c>
      <c r="K139" s="13">
        <v>1880</v>
      </c>
      <c r="L139" s="9">
        <v>47468724</v>
      </c>
    </row>
    <row r="140" spans="1:12" ht="16.5" customHeight="1">
      <c r="B140" s="1" t="s">
        <v>8</v>
      </c>
      <c r="C140" s="206" t="s">
        <v>146</v>
      </c>
      <c r="D140" s="6" t="s">
        <v>3</v>
      </c>
      <c r="E140" s="5">
        <v>3.5</v>
      </c>
      <c r="F140" s="12" t="s">
        <v>26</v>
      </c>
      <c r="G140" s="13">
        <v>2410</v>
      </c>
      <c r="H140" s="9">
        <v>47468724</v>
      </c>
      <c r="I140" s="9">
        <v>2386</v>
      </c>
      <c r="J140" s="9">
        <v>47535308</v>
      </c>
      <c r="K140" s="13">
        <v>2822</v>
      </c>
      <c r="L140" s="9">
        <v>47468724</v>
      </c>
    </row>
    <row r="141" spans="1:12" ht="16.5" customHeight="1">
      <c r="B141" s="23" t="s">
        <v>7</v>
      </c>
      <c r="C141" s="207" t="s">
        <v>146</v>
      </c>
      <c r="D141" s="4" t="s">
        <v>3</v>
      </c>
      <c r="E141" s="3">
        <v>3.5</v>
      </c>
      <c r="F141" s="16" t="s">
        <v>26</v>
      </c>
      <c r="G141" s="10">
        <v>1203</v>
      </c>
      <c r="H141" s="9">
        <v>47468724</v>
      </c>
      <c r="I141" s="11">
        <v>1193</v>
      </c>
      <c r="J141" s="9">
        <v>47535308</v>
      </c>
      <c r="K141" s="10">
        <v>1219</v>
      </c>
      <c r="L141" s="9">
        <v>47468724</v>
      </c>
    </row>
    <row r="142" spans="1:12" ht="16.5" customHeight="1">
      <c r="B142" s="196" t="s">
        <v>4</v>
      </c>
      <c r="C142" s="205" t="s">
        <v>146</v>
      </c>
      <c r="D142" s="8" t="s">
        <v>3</v>
      </c>
      <c r="E142" s="7">
        <v>4</v>
      </c>
      <c r="F142" s="15" t="s">
        <v>26</v>
      </c>
      <c r="G142" s="197">
        <f>$E142</f>
        <v>4</v>
      </c>
      <c r="H142" s="14">
        <v>47468725</v>
      </c>
      <c r="I142" s="197">
        <f>$E142</f>
        <v>4</v>
      </c>
      <c r="J142" s="14">
        <v>47535309</v>
      </c>
      <c r="K142" s="197">
        <f>$E142</f>
        <v>4</v>
      </c>
      <c r="L142" s="14">
        <v>47468725</v>
      </c>
    </row>
    <row r="143" spans="1:12" ht="16.5" customHeight="1">
      <c r="B143" s="1" t="s">
        <v>11</v>
      </c>
      <c r="C143" s="206" t="s">
        <v>146</v>
      </c>
      <c r="D143" s="6" t="s">
        <v>3</v>
      </c>
      <c r="E143" s="5">
        <v>4</v>
      </c>
      <c r="F143" s="12" t="s">
        <v>26</v>
      </c>
      <c r="G143" s="13">
        <v>810</v>
      </c>
      <c r="H143" s="9">
        <v>47468725</v>
      </c>
      <c r="I143" s="9">
        <v>750</v>
      </c>
      <c r="J143" s="9">
        <v>47535309</v>
      </c>
      <c r="K143" s="13">
        <v>670</v>
      </c>
      <c r="L143" s="9">
        <v>47468725</v>
      </c>
    </row>
    <row r="144" spans="1:12" ht="16.5" customHeight="1">
      <c r="B144" s="1" t="s">
        <v>10</v>
      </c>
      <c r="C144" s="206" t="s">
        <v>146</v>
      </c>
      <c r="D144" s="6" t="s">
        <v>3</v>
      </c>
      <c r="E144" s="5">
        <v>4</v>
      </c>
      <c r="F144" s="12" t="s">
        <v>26</v>
      </c>
      <c r="G144" s="13">
        <v>2850</v>
      </c>
      <c r="H144" s="9">
        <v>47468725</v>
      </c>
      <c r="I144" s="13">
        <v>2850</v>
      </c>
      <c r="J144" s="9">
        <v>47535309</v>
      </c>
      <c r="K144" s="13">
        <v>2850</v>
      </c>
      <c r="L144" s="9">
        <v>47468725</v>
      </c>
    </row>
    <row r="145" spans="1:12" ht="16.5" customHeight="1">
      <c r="B145" s="1" t="s">
        <v>9</v>
      </c>
      <c r="C145" s="206" t="s">
        <v>146</v>
      </c>
      <c r="D145" s="6" t="s">
        <v>3</v>
      </c>
      <c r="E145" s="5">
        <v>4</v>
      </c>
      <c r="F145" s="12" t="s">
        <v>26</v>
      </c>
      <c r="G145" s="13">
        <v>1980</v>
      </c>
      <c r="H145" s="9">
        <v>47468725</v>
      </c>
      <c r="I145" s="13">
        <v>1980</v>
      </c>
      <c r="J145" s="9">
        <v>47535309</v>
      </c>
      <c r="K145" s="13">
        <v>1980</v>
      </c>
      <c r="L145" s="9">
        <v>47468725</v>
      </c>
    </row>
    <row r="146" spans="1:12" ht="16.5" customHeight="1">
      <c r="B146" s="1" t="s">
        <v>8</v>
      </c>
      <c r="C146" s="206" t="s">
        <v>146</v>
      </c>
      <c r="D146" s="6" t="s">
        <v>3</v>
      </c>
      <c r="E146" s="5">
        <v>4</v>
      </c>
      <c r="F146" s="12" t="s">
        <v>26</v>
      </c>
      <c r="G146" s="13">
        <v>2409</v>
      </c>
      <c r="H146" s="9">
        <v>47468725</v>
      </c>
      <c r="I146" s="9">
        <v>2386</v>
      </c>
      <c r="J146" s="9">
        <v>47535309</v>
      </c>
      <c r="K146" s="13">
        <v>2822</v>
      </c>
      <c r="L146" s="9">
        <v>47468725</v>
      </c>
    </row>
    <row r="147" spans="1:12" ht="16.5" customHeight="1">
      <c r="B147" s="23" t="s">
        <v>7</v>
      </c>
      <c r="C147" s="207" t="s">
        <v>146</v>
      </c>
      <c r="D147" s="4" t="s">
        <v>3</v>
      </c>
      <c r="E147" s="3">
        <v>4</v>
      </c>
      <c r="F147" s="12" t="s">
        <v>26</v>
      </c>
      <c r="G147" s="10">
        <v>1203</v>
      </c>
      <c r="H147" s="9">
        <v>47468725</v>
      </c>
      <c r="I147" s="11">
        <v>1193</v>
      </c>
      <c r="J147" s="9">
        <v>47535309</v>
      </c>
      <c r="K147" s="10">
        <v>1219</v>
      </c>
      <c r="L147" s="9">
        <v>47468725</v>
      </c>
    </row>
    <row r="148" spans="1:12" ht="16.5" customHeight="1">
      <c r="B148" s="1" t="s">
        <v>4</v>
      </c>
      <c r="C148" s="205" t="s">
        <v>147</v>
      </c>
      <c r="D148" s="8" t="s">
        <v>19</v>
      </c>
      <c r="E148" s="200" t="s">
        <v>25</v>
      </c>
      <c r="F148" s="2" t="s">
        <v>26</v>
      </c>
      <c r="G148" s="197" t="str">
        <f t="shared" ref="G148:G154" si="0">$E148</f>
        <v>0,8mc</v>
      </c>
      <c r="H148" s="198">
        <v>47468715</v>
      </c>
      <c r="I148" s="197" t="str">
        <f t="shared" ref="I148:I153" si="1">$E148</f>
        <v>0,8mc</v>
      </c>
      <c r="J148" s="204">
        <v>47775979</v>
      </c>
      <c r="K148" s="197" t="str">
        <f t="shared" ref="K148:K153" si="2">$E148</f>
        <v>0,8mc</v>
      </c>
      <c r="L148" s="198">
        <v>47468715</v>
      </c>
    </row>
    <row r="149" spans="1:12" ht="16.5" customHeight="1">
      <c r="B149" s="1" t="s">
        <v>4</v>
      </c>
      <c r="C149" s="205" t="s">
        <v>147</v>
      </c>
      <c r="D149" s="8" t="s">
        <v>19</v>
      </c>
      <c r="E149" s="200" t="s">
        <v>23</v>
      </c>
      <c r="F149" s="2" t="s">
        <v>26</v>
      </c>
      <c r="G149" s="197" t="str">
        <f t="shared" si="0"/>
        <v>1,1mc</v>
      </c>
      <c r="H149" s="198">
        <v>47468717</v>
      </c>
      <c r="I149" s="197" t="str">
        <f t="shared" si="1"/>
        <v>1,1mc</v>
      </c>
      <c r="J149" s="209">
        <v>47775980</v>
      </c>
      <c r="K149" s="197" t="str">
        <f t="shared" si="2"/>
        <v>1,1mc</v>
      </c>
      <c r="L149" s="198">
        <v>47468717</v>
      </c>
    </row>
    <row r="150" spans="1:12" ht="16.5" customHeight="1">
      <c r="B150" s="1" t="s">
        <v>4</v>
      </c>
      <c r="C150" s="205" t="s">
        <v>147</v>
      </c>
      <c r="D150" s="25" t="s">
        <v>19</v>
      </c>
      <c r="E150" s="201" t="s">
        <v>20</v>
      </c>
      <c r="F150" s="2" t="s">
        <v>26</v>
      </c>
      <c r="G150" s="197" t="str">
        <f t="shared" si="0"/>
        <v>1,3mc</v>
      </c>
      <c r="H150" s="198">
        <v>47468718</v>
      </c>
      <c r="I150" s="197" t="str">
        <f t="shared" si="1"/>
        <v>1,3mc</v>
      </c>
      <c r="J150" s="210">
        <v>47775981</v>
      </c>
      <c r="K150" s="197" t="str">
        <f t="shared" si="2"/>
        <v>1,3mc</v>
      </c>
      <c r="L150" s="198">
        <v>47468718</v>
      </c>
    </row>
    <row r="151" spans="1:12" ht="16.5" customHeight="1">
      <c r="B151" s="1" t="s">
        <v>4</v>
      </c>
      <c r="C151" s="8" t="s">
        <v>147</v>
      </c>
      <c r="D151" s="8" t="s">
        <v>3</v>
      </c>
      <c r="E151" s="200" t="s">
        <v>25</v>
      </c>
      <c r="F151" s="2" t="s">
        <v>26</v>
      </c>
      <c r="G151" s="197" t="str">
        <f t="shared" si="0"/>
        <v>0,8mc</v>
      </c>
      <c r="H151" s="198">
        <v>47468719</v>
      </c>
      <c r="I151" s="197" t="str">
        <f t="shared" si="1"/>
        <v>0,8mc</v>
      </c>
      <c r="J151" s="198">
        <v>47468719</v>
      </c>
      <c r="K151" s="197" t="str">
        <f t="shared" si="2"/>
        <v>0,8mc</v>
      </c>
      <c r="L151" s="198">
        <v>47468719</v>
      </c>
    </row>
    <row r="152" spans="1:12" ht="16.5" customHeight="1">
      <c r="B152" s="1" t="s">
        <v>4</v>
      </c>
      <c r="C152" s="8" t="s">
        <v>147</v>
      </c>
      <c r="D152" s="8" t="s">
        <v>3</v>
      </c>
      <c r="E152" s="200" t="s">
        <v>22</v>
      </c>
      <c r="F152" s="2" t="s">
        <v>26</v>
      </c>
      <c r="G152" s="197" t="str">
        <f t="shared" si="0"/>
        <v>1,1 mc</v>
      </c>
      <c r="H152" s="198">
        <v>47468721</v>
      </c>
      <c r="I152" s="197" t="str">
        <f t="shared" si="1"/>
        <v>1,1 mc</v>
      </c>
      <c r="J152" s="198">
        <v>47468721</v>
      </c>
      <c r="K152" s="197" t="str">
        <f t="shared" si="2"/>
        <v>1,1 mc</v>
      </c>
      <c r="L152" s="198">
        <v>47468721</v>
      </c>
    </row>
    <row r="153" spans="1:12" ht="16.5" customHeight="1">
      <c r="B153" s="1" t="s">
        <v>4</v>
      </c>
      <c r="C153" s="8" t="s">
        <v>147</v>
      </c>
      <c r="D153" s="8" t="s">
        <v>3</v>
      </c>
      <c r="E153" s="200" t="s">
        <v>17</v>
      </c>
      <c r="F153" s="2" t="s">
        <v>26</v>
      </c>
      <c r="G153" s="197" t="str">
        <f t="shared" si="0"/>
        <v>1,3 mc</v>
      </c>
      <c r="H153" s="198">
        <v>47468722</v>
      </c>
      <c r="I153" s="197" t="str">
        <f t="shared" si="1"/>
        <v>1,3 mc</v>
      </c>
      <c r="J153" s="198">
        <v>47468722</v>
      </c>
      <c r="K153" s="197" t="str">
        <f t="shared" si="2"/>
        <v>1,3 mc</v>
      </c>
      <c r="L153" s="198">
        <v>47468722</v>
      </c>
    </row>
    <row r="154" spans="1:12" ht="16.5" customHeight="1">
      <c r="A154" s="1"/>
      <c r="B154" s="196" t="s">
        <v>4</v>
      </c>
      <c r="C154" s="8" t="s">
        <v>13</v>
      </c>
      <c r="D154" s="8" t="s">
        <v>19</v>
      </c>
      <c r="E154" s="7">
        <v>4</v>
      </c>
      <c r="F154" s="15" t="s">
        <v>24</v>
      </c>
      <c r="G154" s="197">
        <f t="shared" si="0"/>
        <v>4</v>
      </c>
      <c r="H154" s="14">
        <v>47469282</v>
      </c>
      <c r="I154" s="197">
        <f>$E154</f>
        <v>4</v>
      </c>
      <c r="J154" s="204">
        <v>47776000</v>
      </c>
      <c r="K154" s="197">
        <f>$E154</f>
        <v>4</v>
      </c>
      <c r="L154" s="14">
        <v>47469282</v>
      </c>
    </row>
    <row r="155" spans="1:12" ht="16.5" customHeight="1">
      <c r="A155" s="1"/>
      <c r="B155" s="1" t="s">
        <v>11</v>
      </c>
      <c r="C155" s="6" t="s">
        <v>13</v>
      </c>
      <c r="D155" s="6" t="s">
        <v>19</v>
      </c>
      <c r="E155" s="5">
        <v>4</v>
      </c>
      <c r="F155" s="12" t="s">
        <v>24</v>
      </c>
      <c r="G155" s="13">
        <v>1035</v>
      </c>
      <c r="H155" s="9">
        <v>47469282</v>
      </c>
      <c r="I155" s="9">
        <v>1030</v>
      </c>
      <c r="J155" s="9">
        <v>47469282</v>
      </c>
      <c r="K155" s="13">
        <v>870</v>
      </c>
      <c r="L155" s="9">
        <v>47469282</v>
      </c>
    </row>
    <row r="156" spans="1:12" ht="16.5" customHeight="1">
      <c r="A156" s="1"/>
      <c r="B156" s="1" t="s">
        <v>10</v>
      </c>
      <c r="C156" s="6" t="s">
        <v>13</v>
      </c>
      <c r="D156" s="6" t="s">
        <v>19</v>
      </c>
      <c r="E156" s="5">
        <v>4</v>
      </c>
      <c r="F156" s="12" t="s">
        <v>24</v>
      </c>
      <c r="G156" s="13">
        <v>2500</v>
      </c>
      <c r="H156" s="9">
        <v>47469282</v>
      </c>
      <c r="I156" s="13">
        <v>2500</v>
      </c>
      <c r="J156" s="9">
        <v>47469282</v>
      </c>
      <c r="K156" s="13">
        <v>2500</v>
      </c>
      <c r="L156" s="9">
        <v>47469282</v>
      </c>
    </row>
    <row r="157" spans="1:12" ht="16.5" customHeight="1">
      <c r="A157" s="1"/>
      <c r="B157" s="1" t="s">
        <v>9</v>
      </c>
      <c r="C157" s="6" t="s">
        <v>13</v>
      </c>
      <c r="D157" s="6" t="s">
        <v>19</v>
      </c>
      <c r="E157" s="5">
        <v>4</v>
      </c>
      <c r="F157" s="12" t="s">
        <v>24</v>
      </c>
      <c r="G157" s="13">
        <v>1295</v>
      </c>
      <c r="H157" s="9">
        <v>47469282</v>
      </c>
      <c r="I157" s="13">
        <v>1673</v>
      </c>
      <c r="J157" s="9">
        <v>47469282</v>
      </c>
      <c r="K157" s="13">
        <v>1295</v>
      </c>
      <c r="L157" s="9">
        <v>47469282</v>
      </c>
    </row>
    <row r="158" spans="1:12" ht="16.5" customHeight="1">
      <c r="A158" s="1"/>
      <c r="B158" s="1" t="s">
        <v>8</v>
      </c>
      <c r="C158" s="6" t="s">
        <v>13</v>
      </c>
      <c r="D158" s="6" t="s">
        <v>19</v>
      </c>
      <c r="E158" s="5">
        <v>4</v>
      </c>
      <c r="F158" s="12" t="s">
        <v>24</v>
      </c>
      <c r="G158" s="13">
        <v>2442</v>
      </c>
      <c r="H158" s="9">
        <v>47469282</v>
      </c>
      <c r="I158" s="9">
        <v>2553</v>
      </c>
      <c r="J158" s="9">
        <v>47469282</v>
      </c>
      <c r="K158" s="13">
        <v>2837</v>
      </c>
      <c r="L158" s="9">
        <v>47469282</v>
      </c>
    </row>
    <row r="159" spans="1:12" ht="16.5" customHeight="1">
      <c r="A159" s="1"/>
      <c r="B159" s="23" t="s">
        <v>7</v>
      </c>
      <c r="C159" s="4" t="s">
        <v>13</v>
      </c>
      <c r="D159" s="4" t="s">
        <v>19</v>
      </c>
      <c r="E159" s="3">
        <v>4</v>
      </c>
      <c r="F159" s="12" t="s">
        <v>24</v>
      </c>
      <c r="G159" s="10">
        <v>1489</v>
      </c>
      <c r="H159" s="9">
        <v>47469282</v>
      </c>
      <c r="I159" s="11">
        <v>1568</v>
      </c>
      <c r="J159" s="9">
        <v>47469282</v>
      </c>
      <c r="K159" s="10">
        <v>1490</v>
      </c>
      <c r="L159" s="9">
        <v>47469282</v>
      </c>
    </row>
    <row r="160" spans="1:12" ht="16.5" customHeight="1">
      <c r="A160" s="1"/>
      <c r="B160" s="196" t="s">
        <v>4</v>
      </c>
      <c r="C160" s="8" t="s">
        <v>13</v>
      </c>
      <c r="D160" s="8" t="s">
        <v>19</v>
      </c>
      <c r="E160" s="7">
        <v>4.5</v>
      </c>
      <c r="F160" s="15" t="s">
        <v>24</v>
      </c>
      <c r="G160" s="197">
        <f>$E160</f>
        <v>4.5</v>
      </c>
      <c r="H160" s="14">
        <v>47469283</v>
      </c>
      <c r="I160" s="197">
        <f>$E160</f>
        <v>4.5</v>
      </c>
      <c r="J160" s="204">
        <v>47776001</v>
      </c>
      <c r="K160" s="197">
        <f>$E160</f>
        <v>4.5</v>
      </c>
      <c r="L160" s="14">
        <v>47469283</v>
      </c>
    </row>
    <row r="161" spans="1:12" ht="16.5" customHeight="1">
      <c r="A161" s="1"/>
      <c r="B161" s="1" t="s">
        <v>11</v>
      </c>
      <c r="C161" s="6" t="s">
        <v>13</v>
      </c>
      <c r="D161" s="6" t="s">
        <v>19</v>
      </c>
      <c r="E161" s="5">
        <v>4.5</v>
      </c>
      <c r="F161" s="12" t="s">
        <v>24</v>
      </c>
      <c r="G161" s="13">
        <v>915</v>
      </c>
      <c r="H161" s="9">
        <v>47469283</v>
      </c>
      <c r="I161" s="9">
        <v>910</v>
      </c>
      <c r="J161" s="9">
        <v>47469283</v>
      </c>
      <c r="K161" s="13">
        <v>770</v>
      </c>
      <c r="L161" s="9">
        <v>47469283</v>
      </c>
    </row>
    <row r="162" spans="1:12" ht="16.5" customHeight="1">
      <c r="A162" s="1"/>
      <c r="B162" s="1" t="s">
        <v>10</v>
      </c>
      <c r="C162" s="6" t="s">
        <v>13</v>
      </c>
      <c r="D162" s="6" t="s">
        <v>19</v>
      </c>
      <c r="E162" s="5">
        <v>4.5</v>
      </c>
      <c r="F162" s="12" t="s">
        <v>24</v>
      </c>
      <c r="G162" s="13">
        <v>2750</v>
      </c>
      <c r="H162" s="9">
        <v>47469283</v>
      </c>
      <c r="I162" s="13">
        <v>2750</v>
      </c>
      <c r="J162" s="9">
        <v>47469283</v>
      </c>
      <c r="K162" s="13">
        <v>2750</v>
      </c>
      <c r="L162" s="9">
        <v>47469283</v>
      </c>
    </row>
    <row r="163" spans="1:12" ht="16.5" customHeight="1">
      <c r="A163" s="1"/>
      <c r="B163" s="1" t="s">
        <v>9</v>
      </c>
      <c r="C163" s="6" t="s">
        <v>13</v>
      </c>
      <c r="D163" s="6" t="s">
        <v>19</v>
      </c>
      <c r="E163" s="5">
        <v>4.5</v>
      </c>
      <c r="F163" s="12" t="s">
        <v>24</v>
      </c>
      <c r="G163" s="13">
        <v>1345</v>
      </c>
      <c r="H163" s="9">
        <v>47469283</v>
      </c>
      <c r="I163" s="13">
        <v>1723</v>
      </c>
      <c r="J163" s="9">
        <v>47469283</v>
      </c>
      <c r="K163" s="13">
        <v>1345</v>
      </c>
      <c r="L163" s="9">
        <v>47469283</v>
      </c>
    </row>
    <row r="164" spans="1:12" ht="16.5" customHeight="1">
      <c r="A164" s="1"/>
      <c r="B164" s="1" t="s">
        <v>8</v>
      </c>
      <c r="C164" s="6" t="s">
        <v>13</v>
      </c>
      <c r="D164" s="6" t="s">
        <v>19</v>
      </c>
      <c r="E164" s="5">
        <v>4.5</v>
      </c>
      <c r="F164" s="12" t="s">
        <v>24</v>
      </c>
      <c r="G164" s="13">
        <v>2442</v>
      </c>
      <c r="H164" s="9">
        <v>47469283</v>
      </c>
      <c r="I164" s="9">
        <v>2553</v>
      </c>
      <c r="J164" s="9">
        <v>47469283</v>
      </c>
      <c r="K164" s="13">
        <v>2837</v>
      </c>
      <c r="L164" s="9">
        <v>47469283</v>
      </c>
    </row>
    <row r="165" spans="1:12" ht="16.5" customHeight="1">
      <c r="A165" s="1"/>
      <c r="B165" s="23" t="s">
        <v>7</v>
      </c>
      <c r="C165" s="4" t="s">
        <v>13</v>
      </c>
      <c r="D165" s="4" t="s">
        <v>19</v>
      </c>
      <c r="E165" s="3">
        <v>4.5</v>
      </c>
      <c r="F165" s="12" t="s">
        <v>24</v>
      </c>
      <c r="G165" s="10">
        <v>1489</v>
      </c>
      <c r="H165" s="9">
        <v>47469283</v>
      </c>
      <c r="I165" s="11">
        <v>1568</v>
      </c>
      <c r="J165" s="9">
        <v>47469283</v>
      </c>
      <c r="K165" s="10">
        <v>1490</v>
      </c>
      <c r="L165" s="9">
        <v>47469283</v>
      </c>
    </row>
    <row r="166" spans="1:12" ht="16.5" customHeight="1">
      <c r="A166" s="1"/>
      <c r="B166" s="196" t="s">
        <v>4</v>
      </c>
      <c r="C166" s="8" t="s">
        <v>13</v>
      </c>
      <c r="D166" s="8" t="s">
        <v>19</v>
      </c>
      <c r="E166" s="7">
        <v>5</v>
      </c>
      <c r="F166" s="15" t="s">
        <v>24</v>
      </c>
      <c r="G166" s="197">
        <f>$E166</f>
        <v>5</v>
      </c>
      <c r="H166" s="14">
        <v>47469284</v>
      </c>
      <c r="I166" s="197">
        <f>$E166</f>
        <v>5</v>
      </c>
      <c r="J166" s="204">
        <v>47776003</v>
      </c>
      <c r="K166" s="197">
        <f>$E166</f>
        <v>5</v>
      </c>
      <c r="L166" s="14">
        <v>47469284</v>
      </c>
    </row>
    <row r="167" spans="1:12" ht="16.5" customHeight="1">
      <c r="A167" s="1"/>
      <c r="B167" s="1" t="s">
        <v>11</v>
      </c>
      <c r="C167" s="6" t="s">
        <v>13</v>
      </c>
      <c r="D167" s="6" t="s">
        <v>19</v>
      </c>
      <c r="E167" s="5">
        <v>5</v>
      </c>
      <c r="F167" s="12" t="s">
        <v>24</v>
      </c>
      <c r="G167" s="13">
        <v>815</v>
      </c>
      <c r="H167" s="9">
        <v>47469284</v>
      </c>
      <c r="I167" s="9">
        <v>810</v>
      </c>
      <c r="J167" s="9">
        <v>47469284</v>
      </c>
      <c r="K167" s="13">
        <v>685</v>
      </c>
      <c r="L167" s="9">
        <v>47469284</v>
      </c>
    </row>
    <row r="168" spans="1:12" ht="16.5" customHeight="1">
      <c r="A168" s="1"/>
      <c r="B168" s="1" t="s">
        <v>10</v>
      </c>
      <c r="C168" s="6" t="s">
        <v>13</v>
      </c>
      <c r="D168" s="6" t="s">
        <v>19</v>
      </c>
      <c r="E168" s="5">
        <v>5</v>
      </c>
      <c r="F168" s="12" t="s">
        <v>24</v>
      </c>
      <c r="G168" s="13">
        <v>3000</v>
      </c>
      <c r="H168" s="9">
        <v>47469284</v>
      </c>
      <c r="I168" s="13">
        <v>3000</v>
      </c>
      <c r="J168" s="9">
        <v>47469284</v>
      </c>
      <c r="K168" s="13">
        <v>3000</v>
      </c>
      <c r="L168" s="9">
        <v>47469284</v>
      </c>
    </row>
    <row r="169" spans="1:12" ht="16.5" customHeight="1">
      <c r="A169" s="1"/>
      <c r="B169" s="1" t="s">
        <v>9</v>
      </c>
      <c r="C169" s="6" t="s">
        <v>13</v>
      </c>
      <c r="D169" s="6" t="s">
        <v>19</v>
      </c>
      <c r="E169" s="5">
        <v>5</v>
      </c>
      <c r="F169" s="12" t="s">
        <v>24</v>
      </c>
      <c r="G169" s="13">
        <v>1415</v>
      </c>
      <c r="H169" s="9">
        <v>47469284</v>
      </c>
      <c r="I169" s="13">
        <v>1793</v>
      </c>
      <c r="J169" s="9">
        <v>47469284</v>
      </c>
      <c r="K169" s="13">
        <v>1415</v>
      </c>
      <c r="L169" s="9">
        <v>47469284</v>
      </c>
    </row>
    <row r="170" spans="1:12" ht="16.5" customHeight="1">
      <c r="A170" s="1"/>
      <c r="B170" s="1" t="s">
        <v>8</v>
      </c>
      <c r="C170" s="6" t="s">
        <v>13</v>
      </c>
      <c r="D170" s="6" t="s">
        <v>19</v>
      </c>
      <c r="E170" s="5">
        <v>5</v>
      </c>
      <c r="F170" s="12" t="s">
        <v>24</v>
      </c>
      <c r="G170" s="13">
        <v>2442</v>
      </c>
      <c r="H170" s="9">
        <v>47469284</v>
      </c>
      <c r="I170" s="9">
        <v>2553</v>
      </c>
      <c r="J170" s="9">
        <v>47469284</v>
      </c>
      <c r="K170" s="13">
        <v>2837</v>
      </c>
      <c r="L170" s="9">
        <v>47469284</v>
      </c>
    </row>
    <row r="171" spans="1:12" ht="16.5" customHeight="1">
      <c r="A171" s="1"/>
      <c r="B171" s="23" t="s">
        <v>7</v>
      </c>
      <c r="C171" s="4" t="s">
        <v>13</v>
      </c>
      <c r="D171" s="4" t="s">
        <v>19</v>
      </c>
      <c r="E171" s="3">
        <v>5</v>
      </c>
      <c r="F171" s="12" t="s">
        <v>24</v>
      </c>
      <c r="G171" s="10">
        <v>1489</v>
      </c>
      <c r="H171" s="9">
        <v>47469284</v>
      </c>
      <c r="I171" s="11">
        <v>1568</v>
      </c>
      <c r="J171" s="9">
        <v>47469284</v>
      </c>
      <c r="K171" s="10">
        <v>1490</v>
      </c>
      <c r="L171" s="9">
        <v>47469284</v>
      </c>
    </row>
    <row r="172" spans="1:12" ht="16.5" customHeight="1">
      <c r="A172" s="1"/>
      <c r="B172" s="196" t="s">
        <v>4</v>
      </c>
      <c r="C172" s="8" t="s">
        <v>13</v>
      </c>
      <c r="D172" s="8" t="s">
        <v>19</v>
      </c>
      <c r="E172" s="7">
        <v>6</v>
      </c>
      <c r="F172" s="15" t="s">
        <v>24</v>
      </c>
      <c r="G172" s="197">
        <f>$E172</f>
        <v>6</v>
      </c>
      <c r="H172" s="14">
        <v>47469285</v>
      </c>
      <c r="I172" s="197">
        <f>$E172</f>
        <v>6</v>
      </c>
      <c r="J172" s="204">
        <v>47776004</v>
      </c>
      <c r="K172" s="197">
        <f>$E172</f>
        <v>6</v>
      </c>
      <c r="L172" s="14">
        <v>47469285</v>
      </c>
    </row>
    <row r="173" spans="1:12" ht="16.5" customHeight="1">
      <c r="A173" s="1"/>
      <c r="B173" s="1" t="s">
        <v>11</v>
      </c>
      <c r="C173" s="6" t="s">
        <v>13</v>
      </c>
      <c r="D173" s="6" t="s">
        <v>19</v>
      </c>
      <c r="E173" s="5">
        <v>6</v>
      </c>
      <c r="F173" s="12" t="s">
        <v>24</v>
      </c>
      <c r="G173" s="13">
        <v>590</v>
      </c>
      <c r="H173" s="9">
        <v>47469285</v>
      </c>
      <c r="I173" s="9">
        <v>590</v>
      </c>
      <c r="J173" s="9">
        <v>47469285</v>
      </c>
      <c r="K173" s="13">
        <v>490</v>
      </c>
      <c r="L173" s="9">
        <v>47469285</v>
      </c>
    </row>
    <row r="174" spans="1:12" ht="16.5" customHeight="1">
      <c r="A174" s="1"/>
      <c r="B174" s="1" t="s">
        <v>10</v>
      </c>
      <c r="C174" s="6" t="s">
        <v>13</v>
      </c>
      <c r="D174" s="6" t="s">
        <v>19</v>
      </c>
      <c r="E174" s="5">
        <v>6</v>
      </c>
      <c r="F174" s="12" t="s">
        <v>24</v>
      </c>
      <c r="G174" s="13">
        <v>3200</v>
      </c>
      <c r="H174" s="9">
        <v>47469285</v>
      </c>
      <c r="I174" s="13">
        <v>3200</v>
      </c>
      <c r="J174" s="9">
        <v>47469285</v>
      </c>
      <c r="K174" s="13">
        <v>3200</v>
      </c>
      <c r="L174" s="9">
        <v>47469285</v>
      </c>
    </row>
    <row r="175" spans="1:12" ht="16.5" customHeight="1">
      <c r="A175" s="1"/>
      <c r="B175" s="1" t="s">
        <v>9</v>
      </c>
      <c r="C175" s="6" t="s">
        <v>13</v>
      </c>
      <c r="D175" s="6" t="s">
        <v>19</v>
      </c>
      <c r="E175" s="5">
        <v>6</v>
      </c>
      <c r="F175" s="12" t="s">
        <v>24</v>
      </c>
      <c r="G175" s="13">
        <v>2020</v>
      </c>
      <c r="H175" s="9">
        <v>47469285</v>
      </c>
      <c r="I175" s="13">
        <v>2398</v>
      </c>
      <c r="J175" s="9">
        <v>47469285</v>
      </c>
      <c r="K175" s="13">
        <v>2020</v>
      </c>
      <c r="L175" s="9">
        <v>47469285</v>
      </c>
    </row>
    <row r="176" spans="1:12" ht="16.5" customHeight="1">
      <c r="A176" s="1"/>
      <c r="B176" s="1" t="s">
        <v>8</v>
      </c>
      <c r="C176" s="6" t="s">
        <v>13</v>
      </c>
      <c r="D176" s="6" t="s">
        <v>19</v>
      </c>
      <c r="E176" s="5">
        <v>6</v>
      </c>
      <c r="F176" s="12" t="s">
        <v>24</v>
      </c>
      <c r="G176" s="13">
        <v>2246</v>
      </c>
      <c r="H176" s="9">
        <v>47469285</v>
      </c>
      <c r="I176" s="9">
        <v>2357</v>
      </c>
      <c r="J176" s="9">
        <v>47469285</v>
      </c>
      <c r="K176" s="13">
        <v>2641</v>
      </c>
      <c r="L176" s="9">
        <v>47469285</v>
      </c>
    </row>
    <row r="177" spans="1:12" ht="16.5" customHeight="1">
      <c r="A177" s="1"/>
      <c r="B177" s="23" t="s">
        <v>7</v>
      </c>
      <c r="C177" s="4" t="s">
        <v>13</v>
      </c>
      <c r="D177" s="4" t="s">
        <v>19</v>
      </c>
      <c r="E177" s="3">
        <v>6</v>
      </c>
      <c r="F177" s="12" t="s">
        <v>24</v>
      </c>
      <c r="G177" s="10">
        <v>1390</v>
      </c>
      <c r="H177" s="9">
        <v>47469285</v>
      </c>
      <c r="I177" s="11">
        <v>1469</v>
      </c>
      <c r="J177" s="9">
        <v>47469285</v>
      </c>
      <c r="K177" s="10">
        <v>1391</v>
      </c>
      <c r="L177" s="9">
        <v>47469285</v>
      </c>
    </row>
    <row r="178" spans="1:12" ht="16.5" customHeight="1">
      <c r="A178" s="1"/>
      <c r="B178" s="196" t="s">
        <v>4</v>
      </c>
      <c r="C178" s="8" t="s">
        <v>13</v>
      </c>
      <c r="D178" s="8" t="s">
        <v>3</v>
      </c>
      <c r="E178" s="7">
        <v>4</v>
      </c>
      <c r="F178" s="15" t="s">
        <v>24</v>
      </c>
      <c r="G178" s="197">
        <f>$E178</f>
        <v>4</v>
      </c>
      <c r="H178" s="14">
        <v>47469287</v>
      </c>
      <c r="I178" s="197">
        <f>$E178</f>
        <v>4</v>
      </c>
      <c r="J178" s="14">
        <v>47535796</v>
      </c>
      <c r="K178" s="197">
        <f>$E178</f>
        <v>4</v>
      </c>
      <c r="L178" s="14">
        <v>47469287</v>
      </c>
    </row>
    <row r="179" spans="1:12" ht="16.5" customHeight="1">
      <c r="A179" s="1"/>
      <c r="B179" s="1" t="s">
        <v>11</v>
      </c>
      <c r="C179" s="6" t="s">
        <v>13</v>
      </c>
      <c r="D179" s="6" t="s">
        <v>3</v>
      </c>
      <c r="E179" s="5">
        <v>4</v>
      </c>
      <c r="F179" s="12" t="s">
        <v>24</v>
      </c>
      <c r="G179" s="13">
        <v>1165</v>
      </c>
      <c r="H179" s="9">
        <v>47469287</v>
      </c>
      <c r="I179" s="9">
        <v>1100</v>
      </c>
      <c r="J179" s="9">
        <v>47535796</v>
      </c>
      <c r="K179" s="13">
        <v>980</v>
      </c>
      <c r="L179" s="9">
        <v>47469287</v>
      </c>
    </row>
    <row r="180" spans="1:12" ht="16.5" customHeight="1">
      <c r="A180" s="1"/>
      <c r="B180" s="1" t="s">
        <v>10</v>
      </c>
      <c r="C180" s="6" t="s">
        <v>13</v>
      </c>
      <c r="D180" s="6" t="s">
        <v>3</v>
      </c>
      <c r="E180" s="5">
        <v>4</v>
      </c>
      <c r="F180" s="12" t="s">
        <v>24</v>
      </c>
      <c r="G180" s="13">
        <v>2500</v>
      </c>
      <c r="H180" s="9">
        <v>47469287</v>
      </c>
      <c r="I180" s="13">
        <v>2500</v>
      </c>
      <c r="J180" s="9">
        <v>47535796</v>
      </c>
      <c r="K180" s="13">
        <v>2500</v>
      </c>
      <c r="L180" s="9">
        <v>47469287</v>
      </c>
    </row>
    <row r="181" spans="1:12" ht="16.5" customHeight="1">
      <c r="A181" s="1"/>
      <c r="B181" s="1" t="s">
        <v>9</v>
      </c>
      <c r="C181" s="6" t="s">
        <v>13</v>
      </c>
      <c r="D181" s="6" t="s">
        <v>3</v>
      </c>
      <c r="E181" s="5">
        <v>4</v>
      </c>
      <c r="F181" s="12" t="s">
        <v>24</v>
      </c>
      <c r="G181" s="13">
        <v>1345</v>
      </c>
      <c r="H181" s="9">
        <v>47469287</v>
      </c>
      <c r="I181" s="13">
        <v>1345</v>
      </c>
      <c r="J181" s="9">
        <v>47535796</v>
      </c>
      <c r="K181" s="13">
        <v>1345</v>
      </c>
      <c r="L181" s="9">
        <v>47469287</v>
      </c>
    </row>
    <row r="182" spans="1:12" ht="16.5" customHeight="1">
      <c r="A182" s="1"/>
      <c r="B182" s="1" t="s">
        <v>8</v>
      </c>
      <c r="C182" s="6" t="s">
        <v>13</v>
      </c>
      <c r="D182" s="6" t="s">
        <v>3</v>
      </c>
      <c r="E182" s="5">
        <v>4</v>
      </c>
      <c r="F182" s="12" t="s">
        <v>24</v>
      </c>
      <c r="G182" s="13">
        <v>2577</v>
      </c>
      <c r="H182" s="9">
        <v>47469287</v>
      </c>
      <c r="I182" s="9">
        <v>2688</v>
      </c>
      <c r="J182" s="9">
        <v>47535796</v>
      </c>
      <c r="K182" s="13">
        <v>2972</v>
      </c>
      <c r="L182" s="9">
        <v>47469287</v>
      </c>
    </row>
    <row r="183" spans="1:12" ht="16.5" customHeight="1">
      <c r="A183" s="1"/>
      <c r="B183" s="23" t="s">
        <v>7</v>
      </c>
      <c r="C183" s="4" t="s">
        <v>13</v>
      </c>
      <c r="D183" s="4" t="s">
        <v>3</v>
      </c>
      <c r="E183" s="3">
        <v>4</v>
      </c>
      <c r="F183" s="12" t="s">
        <v>24</v>
      </c>
      <c r="G183" s="10">
        <v>1355</v>
      </c>
      <c r="H183" s="9">
        <v>47469287</v>
      </c>
      <c r="I183" s="11">
        <v>1433</v>
      </c>
      <c r="J183" s="9">
        <v>47535796</v>
      </c>
      <c r="K183" s="10">
        <v>1356</v>
      </c>
      <c r="L183" s="9">
        <v>47469287</v>
      </c>
    </row>
    <row r="184" spans="1:12" ht="16.5" customHeight="1">
      <c r="A184" s="1"/>
      <c r="B184" s="196" t="s">
        <v>4</v>
      </c>
      <c r="C184" s="8" t="s">
        <v>13</v>
      </c>
      <c r="D184" s="8" t="s">
        <v>3</v>
      </c>
      <c r="E184" s="7">
        <v>4.5</v>
      </c>
      <c r="F184" s="15" t="s">
        <v>24</v>
      </c>
      <c r="G184" s="197">
        <f>$E184</f>
        <v>4.5</v>
      </c>
      <c r="H184" s="14">
        <v>47469288</v>
      </c>
      <c r="I184" s="197">
        <f>$E184</f>
        <v>4.5</v>
      </c>
      <c r="J184" s="14">
        <v>47535797</v>
      </c>
      <c r="K184" s="197">
        <f>$E184</f>
        <v>4.5</v>
      </c>
      <c r="L184" s="14">
        <v>47469288</v>
      </c>
    </row>
    <row r="185" spans="1:12" ht="16.5" customHeight="1">
      <c r="A185" s="1"/>
      <c r="B185" s="1" t="s">
        <v>11</v>
      </c>
      <c r="C185" s="6" t="s">
        <v>13</v>
      </c>
      <c r="D185" s="6" t="s">
        <v>3</v>
      </c>
      <c r="E185" s="5">
        <v>4.5</v>
      </c>
      <c r="F185" s="12" t="s">
        <v>24</v>
      </c>
      <c r="G185" s="13">
        <v>1030</v>
      </c>
      <c r="H185" s="9">
        <v>47469288</v>
      </c>
      <c r="I185" s="9">
        <v>980</v>
      </c>
      <c r="J185" s="9">
        <v>47535797</v>
      </c>
      <c r="K185" s="13">
        <v>870</v>
      </c>
      <c r="L185" s="9">
        <v>47469288</v>
      </c>
    </row>
    <row r="186" spans="1:12" ht="16.5" customHeight="1">
      <c r="A186" s="1"/>
      <c r="B186" s="1" t="s">
        <v>10</v>
      </c>
      <c r="C186" s="6" t="s">
        <v>13</v>
      </c>
      <c r="D186" s="6" t="s">
        <v>3</v>
      </c>
      <c r="E186" s="5">
        <v>4.5</v>
      </c>
      <c r="F186" s="12" t="s">
        <v>24</v>
      </c>
      <c r="G186" s="13">
        <v>2750</v>
      </c>
      <c r="H186" s="9">
        <v>47469288</v>
      </c>
      <c r="I186" s="13">
        <v>2750</v>
      </c>
      <c r="J186" s="9">
        <v>47535797</v>
      </c>
      <c r="K186" s="13">
        <v>2750</v>
      </c>
      <c r="L186" s="9">
        <v>47469288</v>
      </c>
    </row>
    <row r="187" spans="1:12" ht="16.5" customHeight="1">
      <c r="A187" s="1"/>
      <c r="B187" s="1" t="s">
        <v>9</v>
      </c>
      <c r="C187" s="6" t="s">
        <v>13</v>
      </c>
      <c r="D187" s="6" t="s">
        <v>3</v>
      </c>
      <c r="E187" s="5">
        <v>4.5</v>
      </c>
      <c r="F187" s="12" t="s">
        <v>24</v>
      </c>
      <c r="G187" s="13">
        <v>1395</v>
      </c>
      <c r="H187" s="9">
        <v>47469288</v>
      </c>
      <c r="I187" s="13">
        <v>1395</v>
      </c>
      <c r="J187" s="9">
        <v>47535797</v>
      </c>
      <c r="K187" s="13">
        <v>1395</v>
      </c>
      <c r="L187" s="9">
        <v>47469288</v>
      </c>
    </row>
    <row r="188" spans="1:12" ht="16.5" customHeight="1">
      <c r="A188" s="1"/>
      <c r="B188" s="1" t="s">
        <v>8</v>
      </c>
      <c r="C188" s="6" t="s">
        <v>13</v>
      </c>
      <c r="D188" s="6" t="s">
        <v>3</v>
      </c>
      <c r="E188" s="5">
        <v>4.5</v>
      </c>
      <c r="F188" s="12" t="s">
        <v>24</v>
      </c>
      <c r="G188" s="13">
        <v>2577</v>
      </c>
      <c r="H188" s="9">
        <v>47469288</v>
      </c>
      <c r="I188" s="9">
        <v>2688</v>
      </c>
      <c r="J188" s="9">
        <v>47535797</v>
      </c>
      <c r="K188" s="13">
        <v>2972</v>
      </c>
      <c r="L188" s="9">
        <v>47469288</v>
      </c>
    </row>
    <row r="189" spans="1:12" ht="16.5" customHeight="1">
      <c r="A189" s="1"/>
      <c r="B189" s="23" t="s">
        <v>7</v>
      </c>
      <c r="C189" s="4" t="s">
        <v>13</v>
      </c>
      <c r="D189" s="4" t="s">
        <v>3</v>
      </c>
      <c r="E189" s="3">
        <v>4.5</v>
      </c>
      <c r="F189" s="12" t="s">
        <v>24</v>
      </c>
      <c r="G189" s="10">
        <v>1355</v>
      </c>
      <c r="H189" s="9">
        <v>47469288</v>
      </c>
      <c r="I189" s="11">
        <v>1433</v>
      </c>
      <c r="J189" s="9">
        <v>47535797</v>
      </c>
      <c r="K189" s="10">
        <v>1356</v>
      </c>
      <c r="L189" s="9">
        <v>47469288</v>
      </c>
    </row>
    <row r="190" spans="1:12" ht="16.5" customHeight="1">
      <c r="A190" s="1"/>
      <c r="B190" s="196" t="s">
        <v>4</v>
      </c>
      <c r="C190" s="8" t="s">
        <v>13</v>
      </c>
      <c r="D190" s="8" t="s">
        <v>3</v>
      </c>
      <c r="E190" s="7">
        <v>5</v>
      </c>
      <c r="F190" s="15" t="s">
        <v>24</v>
      </c>
      <c r="G190" s="197">
        <f>$E190</f>
        <v>5</v>
      </c>
      <c r="H190" s="14">
        <v>47469289</v>
      </c>
      <c r="I190" s="197">
        <f>$E190</f>
        <v>5</v>
      </c>
      <c r="J190" s="14">
        <v>47535798</v>
      </c>
      <c r="K190" s="197">
        <f>$E190</f>
        <v>5</v>
      </c>
      <c r="L190" s="14">
        <v>47469289</v>
      </c>
    </row>
    <row r="191" spans="1:12" ht="16.5" customHeight="1">
      <c r="A191" s="1"/>
      <c r="B191" s="1" t="s">
        <v>11</v>
      </c>
      <c r="C191" s="6" t="s">
        <v>13</v>
      </c>
      <c r="D191" s="6" t="s">
        <v>3</v>
      </c>
      <c r="E191" s="5">
        <v>5</v>
      </c>
      <c r="F191" s="12" t="s">
        <v>24</v>
      </c>
      <c r="G191" s="13">
        <v>920</v>
      </c>
      <c r="H191" s="9">
        <v>47469289</v>
      </c>
      <c r="I191" s="9">
        <v>875</v>
      </c>
      <c r="J191" s="9">
        <v>47535798</v>
      </c>
      <c r="K191" s="13">
        <v>775</v>
      </c>
      <c r="L191" s="9">
        <v>47469289</v>
      </c>
    </row>
    <row r="192" spans="1:12" ht="16.5" customHeight="1">
      <c r="A192" s="1"/>
      <c r="B192" s="1" t="s">
        <v>10</v>
      </c>
      <c r="C192" s="6" t="s">
        <v>13</v>
      </c>
      <c r="D192" s="6" t="s">
        <v>3</v>
      </c>
      <c r="E192" s="5">
        <v>5</v>
      </c>
      <c r="F192" s="12" t="s">
        <v>24</v>
      </c>
      <c r="G192" s="13">
        <v>3000</v>
      </c>
      <c r="H192" s="9">
        <v>47469289</v>
      </c>
      <c r="I192" s="13">
        <v>3000</v>
      </c>
      <c r="J192" s="9">
        <v>47535798</v>
      </c>
      <c r="K192" s="13">
        <v>3000</v>
      </c>
      <c r="L192" s="9">
        <v>47469289</v>
      </c>
    </row>
    <row r="193" spans="1:12" ht="16.5" customHeight="1">
      <c r="A193" s="1"/>
      <c r="B193" s="1" t="s">
        <v>9</v>
      </c>
      <c r="C193" s="6" t="s">
        <v>13</v>
      </c>
      <c r="D193" s="6" t="s">
        <v>3</v>
      </c>
      <c r="E193" s="5">
        <v>5</v>
      </c>
      <c r="F193" s="12" t="s">
        <v>24</v>
      </c>
      <c r="G193" s="13">
        <v>1465</v>
      </c>
      <c r="H193" s="9">
        <v>47469289</v>
      </c>
      <c r="I193" s="13">
        <v>1465</v>
      </c>
      <c r="J193" s="9">
        <v>47535798</v>
      </c>
      <c r="K193" s="13">
        <v>1465</v>
      </c>
      <c r="L193" s="9">
        <v>47469289</v>
      </c>
    </row>
    <row r="194" spans="1:12" ht="16.5" customHeight="1">
      <c r="A194" s="1"/>
      <c r="B194" s="1" t="s">
        <v>8</v>
      </c>
      <c r="C194" s="6" t="s">
        <v>13</v>
      </c>
      <c r="D194" s="6" t="s">
        <v>3</v>
      </c>
      <c r="E194" s="5">
        <v>5</v>
      </c>
      <c r="F194" s="12" t="s">
        <v>24</v>
      </c>
      <c r="G194" s="13">
        <v>2577</v>
      </c>
      <c r="H194" s="9">
        <v>47469289</v>
      </c>
      <c r="I194" s="9">
        <v>2688</v>
      </c>
      <c r="J194" s="9">
        <v>47535798</v>
      </c>
      <c r="K194" s="13">
        <v>2972</v>
      </c>
      <c r="L194" s="9">
        <v>47469289</v>
      </c>
    </row>
    <row r="195" spans="1:12" ht="16.5" customHeight="1">
      <c r="A195" s="1"/>
      <c r="B195" s="23" t="s">
        <v>7</v>
      </c>
      <c r="C195" s="4" t="s">
        <v>13</v>
      </c>
      <c r="D195" s="4" t="s">
        <v>3</v>
      </c>
      <c r="E195" s="3">
        <v>5</v>
      </c>
      <c r="F195" s="12" t="s">
        <v>24</v>
      </c>
      <c r="G195" s="10">
        <v>1355</v>
      </c>
      <c r="H195" s="9">
        <v>47469289</v>
      </c>
      <c r="I195" s="11">
        <v>1433</v>
      </c>
      <c r="J195" s="9">
        <v>47535798</v>
      </c>
      <c r="K195" s="10">
        <v>1356</v>
      </c>
      <c r="L195" s="9">
        <v>47469289</v>
      </c>
    </row>
    <row r="196" spans="1:12" ht="16.5" customHeight="1">
      <c r="A196" s="1"/>
      <c r="B196" s="196" t="s">
        <v>4</v>
      </c>
      <c r="C196" s="8" t="s">
        <v>13</v>
      </c>
      <c r="D196" s="8" t="s">
        <v>3</v>
      </c>
      <c r="E196" s="7">
        <v>6</v>
      </c>
      <c r="F196" s="15" t="s">
        <v>24</v>
      </c>
      <c r="G196" s="197">
        <f>$E196</f>
        <v>6</v>
      </c>
      <c r="H196" s="14">
        <v>47469290</v>
      </c>
      <c r="I196" s="197">
        <f>$E196</f>
        <v>6</v>
      </c>
      <c r="J196" s="14">
        <v>47535799</v>
      </c>
      <c r="K196" s="197">
        <f>$E196</f>
        <v>6</v>
      </c>
      <c r="L196" s="14">
        <v>47469290</v>
      </c>
    </row>
    <row r="197" spans="1:12" ht="16.5" customHeight="1">
      <c r="A197" s="1"/>
      <c r="B197" s="1" t="s">
        <v>11</v>
      </c>
      <c r="C197" s="6" t="s">
        <v>13</v>
      </c>
      <c r="D197" s="6" t="s">
        <v>3</v>
      </c>
      <c r="E197" s="5">
        <v>6</v>
      </c>
      <c r="F197" s="12" t="s">
        <v>24</v>
      </c>
      <c r="G197" s="13">
        <v>670</v>
      </c>
      <c r="H197" s="9">
        <v>47469290</v>
      </c>
      <c r="I197" s="9">
        <v>635</v>
      </c>
      <c r="J197" s="9">
        <v>47535799</v>
      </c>
      <c r="K197" s="13">
        <v>555</v>
      </c>
      <c r="L197" s="9">
        <v>47469290</v>
      </c>
    </row>
    <row r="198" spans="1:12" ht="16.5" customHeight="1">
      <c r="A198" s="1"/>
      <c r="B198" s="1" t="s">
        <v>10</v>
      </c>
      <c r="C198" s="6" t="s">
        <v>13</v>
      </c>
      <c r="D198" s="6" t="s">
        <v>3</v>
      </c>
      <c r="E198" s="5">
        <v>6</v>
      </c>
      <c r="F198" s="12" t="s">
        <v>24</v>
      </c>
      <c r="G198" s="13">
        <v>3200</v>
      </c>
      <c r="H198" s="9">
        <v>47469290</v>
      </c>
      <c r="I198" s="13">
        <v>3200</v>
      </c>
      <c r="J198" s="9">
        <v>47535799</v>
      </c>
      <c r="K198" s="13">
        <v>3200</v>
      </c>
      <c r="L198" s="9">
        <v>47469290</v>
      </c>
    </row>
    <row r="199" spans="1:12" ht="16.5" customHeight="1">
      <c r="A199" s="1"/>
      <c r="B199" s="1" t="s">
        <v>9</v>
      </c>
      <c r="C199" s="6" t="s">
        <v>13</v>
      </c>
      <c r="D199" s="6" t="s">
        <v>3</v>
      </c>
      <c r="E199" s="5">
        <v>6</v>
      </c>
      <c r="F199" s="12" t="s">
        <v>24</v>
      </c>
      <c r="G199" s="13">
        <v>2120</v>
      </c>
      <c r="H199" s="9">
        <v>47469290</v>
      </c>
      <c r="I199" s="13">
        <v>2120</v>
      </c>
      <c r="J199" s="9">
        <v>47535799</v>
      </c>
      <c r="K199" s="13">
        <v>2120</v>
      </c>
      <c r="L199" s="9">
        <v>47469290</v>
      </c>
    </row>
    <row r="200" spans="1:12" ht="16.5" customHeight="1">
      <c r="A200" s="1"/>
      <c r="B200" s="1" t="s">
        <v>8</v>
      </c>
      <c r="C200" s="6" t="s">
        <v>13</v>
      </c>
      <c r="D200" s="6" t="s">
        <v>3</v>
      </c>
      <c r="E200" s="5">
        <v>6</v>
      </c>
      <c r="F200" s="12" t="s">
        <v>24</v>
      </c>
      <c r="G200" s="13">
        <v>2381</v>
      </c>
      <c r="H200" s="9">
        <v>47469290</v>
      </c>
      <c r="I200" s="9">
        <v>2492</v>
      </c>
      <c r="J200" s="9">
        <v>47535799</v>
      </c>
      <c r="K200" s="13">
        <v>2776</v>
      </c>
      <c r="L200" s="9">
        <v>47469290</v>
      </c>
    </row>
    <row r="201" spans="1:12" ht="16.5" customHeight="1">
      <c r="A201" s="1"/>
      <c r="B201" s="23" t="s">
        <v>7</v>
      </c>
      <c r="C201" s="4" t="s">
        <v>13</v>
      </c>
      <c r="D201" s="4" t="s">
        <v>3</v>
      </c>
      <c r="E201" s="3">
        <v>6</v>
      </c>
      <c r="F201" s="12" t="s">
        <v>24</v>
      </c>
      <c r="G201" s="10">
        <v>1256</v>
      </c>
      <c r="H201" s="9">
        <v>47469290</v>
      </c>
      <c r="I201" s="11">
        <v>1334</v>
      </c>
      <c r="J201" s="9">
        <v>47535799</v>
      </c>
      <c r="K201" s="10">
        <v>1257</v>
      </c>
      <c r="L201" s="9">
        <v>47469290</v>
      </c>
    </row>
    <row r="202" spans="1:12" ht="16.5" customHeight="1">
      <c r="A202" s="1"/>
      <c r="B202" s="196" t="s">
        <v>4</v>
      </c>
      <c r="C202" s="8" t="s">
        <v>13</v>
      </c>
      <c r="D202" s="8" t="s">
        <v>3</v>
      </c>
      <c r="E202" s="7">
        <v>7.5</v>
      </c>
      <c r="F202" s="15" t="s">
        <v>24</v>
      </c>
      <c r="G202" s="197">
        <f>$E202</f>
        <v>7.5</v>
      </c>
      <c r="H202" s="14">
        <v>47469292</v>
      </c>
      <c r="I202" s="197">
        <f>$E202</f>
        <v>7.5</v>
      </c>
      <c r="J202" s="14">
        <v>47535800</v>
      </c>
      <c r="K202" s="197">
        <f>$E202</f>
        <v>7.5</v>
      </c>
      <c r="L202" s="14">
        <v>47469292</v>
      </c>
    </row>
    <row r="203" spans="1:12" ht="16.5" customHeight="1">
      <c r="A203" s="1"/>
      <c r="B203" s="1" t="s">
        <v>11</v>
      </c>
      <c r="C203" s="6" t="s">
        <v>13</v>
      </c>
      <c r="D203" s="6" t="s">
        <v>3</v>
      </c>
      <c r="E203" s="5">
        <v>7.5</v>
      </c>
      <c r="F203" s="12" t="s">
        <v>24</v>
      </c>
      <c r="G203" s="13">
        <v>520</v>
      </c>
      <c r="H203" s="9">
        <v>47469292</v>
      </c>
      <c r="I203" s="9">
        <v>510</v>
      </c>
      <c r="J203" s="9">
        <v>47535800</v>
      </c>
      <c r="K203" s="13">
        <v>410</v>
      </c>
      <c r="L203" s="9">
        <v>47469292</v>
      </c>
    </row>
    <row r="204" spans="1:12" ht="16.5" customHeight="1">
      <c r="A204" s="1"/>
      <c r="B204" s="1" t="s">
        <v>10</v>
      </c>
      <c r="C204" s="6" t="s">
        <v>13</v>
      </c>
      <c r="D204" s="6" t="s">
        <v>3</v>
      </c>
      <c r="E204" s="5">
        <v>7.5</v>
      </c>
      <c r="F204" s="12" t="s">
        <v>24</v>
      </c>
      <c r="G204" s="13">
        <v>3200</v>
      </c>
      <c r="H204" s="9">
        <v>47469292</v>
      </c>
      <c r="I204" s="13">
        <v>3200</v>
      </c>
      <c r="J204" s="9">
        <v>47535800</v>
      </c>
      <c r="K204" s="13">
        <v>3200</v>
      </c>
      <c r="L204" s="9">
        <v>47469292</v>
      </c>
    </row>
    <row r="205" spans="1:12" ht="16.5" customHeight="1">
      <c r="A205" s="1"/>
      <c r="B205" s="1" t="s">
        <v>9</v>
      </c>
      <c r="C205" s="6" t="s">
        <v>13</v>
      </c>
      <c r="D205" s="6" t="s">
        <v>3</v>
      </c>
      <c r="E205" s="5">
        <v>7.5</v>
      </c>
      <c r="F205" s="12" t="s">
        <v>24</v>
      </c>
      <c r="G205" s="13">
        <v>2490</v>
      </c>
      <c r="H205" s="9">
        <v>47469292</v>
      </c>
      <c r="I205" s="13">
        <v>2490</v>
      </c>
      <c r="J205" s="9">
        <v>47535800</v>
      </c>
      <c r="K205" s="13">
        <v>2490</v>
      </c>
      <c r="L205" s="9">
        <v>47469292</v>
      </c>
    </row>
    <row r="206" spans="1:12" ht="16.5" customHeight="1">
      <c r="A206" s="1"/>
      <c r="B206" s="1" t="s">
        <v>8</v>
      </c>
      <c r="C206" s="6" t="s">
        <v>13</v>
      </c>
      <c r="D206" s="6" t="s">
        <v>3</v>
      </c>
      <c r="E206" s="5">
        <v>7.5</v>
      </c>
      <c r="F206" s="12" t="s">
        <v>24</v>
      </c>
      <c r="G206" s="13">
        <v>2318</v>
      </c>
      <c r="H206" s="9">
        <v>47469292</v>
      </c>
      <c r="I206" s="9">
        <v>2429</v>
      </c>
      <c r="J206" s="9">
        <v>47535800</v>
      </c>
      <c r="K206" s="13">
        <v>2713</v>
      </c>
      <c r="L206" s="9">
        <v>47469292</v>
      </c>
    </row>
    <row r="207" spans="1:12" ht="16.5" customHeight="1">
      <c r="A207" s="1"/>
      <c r="B207" s="23" t="s">
        <v>7</v>
      </c>
      <c r="C207" s="4" t="s">
        <v>13</v>
      </c>
      <c r="D207" s="4" t="s">
        <v>3</v>
      </c>
      <c r="E207" s="3">
        <v>7.5</v>
      </c>
      <c r="F207" s="12" t="s">
        <v>24</v>
      </c>
      <c r="G207" s="10">
        <v>1424</v>
      </c>
      <c r="H207" s="9">
        <v>47469292</v>
      </c>
      <c r="I207" s="11">
        <v>1502</v>
      </c>
      <c r="J207" s="9">
        <v>47535800</v>
      </c>
      <c r="K207" s="10">
        <v>1425</v>
      </c>
      <c r="L207" s="9">
        <v>47469292</v>
      </c>
    </row>
    <row r="208" spans="1:12" ht="16.5" customHeight="1">
      <c r="A208" s="1">
        <v>6075</v>
      </c>
      <c r="B208" s="196" t="s">
        <v>4</v>
      </c>
      <c r="C208" s="8" t="s">
        <v>12</v>
      </c>
      <c r="D208" s="8" t="s">
        <v>19</v>
      </c>
      <c r="E208" s="7">
        <v>3.5</v>
      </c>
      <c r="F208" s="15" t="s">
        <v>24</v>
      </c>
      <c r="G208" s="197">
        <f>$E208</f>
        <v>3.5</v>
      </c>
      <c r="H208" s="14">
        <v>47469294</v>
      </c>
      <c r="I208" s="197">
        <f>$E208</f>
        <v>3.5</v>
      </c>
      <c r="J208" s="204">
        <v>47776005</v>
      </c>
      <c r="K208" s="197">
        <f>$E208</f>
        <v>3.5</v>
      </c>
      <c r="L208" s="14">
        <v>47469294</v>
      </c>
    </row>
    <row r="209" spans="1:12" ht="16.5" customHeight="1">
      <c r="A209" s="1"/>
      <c r="B209" s="1" t="s">
        <v>11</v>
      </c>
      <c r="C209" s="6" t="s">
        <v>12</v>
      </c>
      <c r="D209" s="6" t="s">
        <v>19</v>
      </c>
      <c r="E209" s="5">
        <v>3.5</v>
      </c>
      <c r="F209" s="12" t="s">
        <v>24</v>
      </c>
      <c r="G209" s="13">
        <v>1090</v>
      </c>
      <c r="H209" s="9">
        <v>47469294</v>
      </c>
      <c r="I209" s="9">
        <v>1080</v>
      </c>
      <c r="J209" s="9">
        <v>47469294</v>
      </c>
      <c r="K209" s="13">
        <v>910</v>
      </c>
      <c r="L209" s="9">
        <v>47469294</v>
      </c>
    </row>
    <row r="210" spans="1:12" ht="16.5" customHeight="1">
      <c r="A210" s="1"/>
      <c r="B210" s="1" t="s">
        <v>10</v>
      </c>
      <c r="C210" s="6" t="s">
        <v>12</v>
      </c>
      <c r="D210" s="6" t="s">
        <v>19</v>
      </c>
      <c r="E210" s="5">
        <v>3.5</v>
      </c>
      <c r="F210" s="12" t="s">
        <v>24</v>
      </c>
      <c r="G210" s="13">
        <v>2500</v>
      </c>
      <c r="H210" s="9">
        <v>47469294</v>
      </c>
      <c r="I210" s="13">
        <v>2500</v>
      </c>
      <c r="J210" s="9">
        <v>47469294</v>
      </c>
      <c r="K210" s="13">
        <v>2500</v>
      </c>
      <c r="L210" s="9">
        <v>47469294</v>
      </c>
    </row>
    <row r="211" spans="1:12" ht="16.5" customHeight="1">
      <c r="A211" s="1"/>
      <c r="B211" s="1" t="s">
        <v>9</v>
      </c>
      <c r="C211" s="6" t="s">
        <v>12</v>
      </c>
      <c r="D211" s="6" t="s">
        <v>19</v>
      </c>
      <c r="E211" s="5">
        <v>3.5</v>
      </c>
      <c r="F211" s="12" t="s">
        <v>24</v>
      </c>
      <c r="G211" s="13">
        <v>1650</v>
      </c>
      <c r="H211" s="9">
        <v>47469294</v>
      </c>
      <c r="I211" s="13">
        <v>2028</v>
      </c>
      <c r="J211" s="9">
        <v>47469294</v>
      </c>
      <c r="K211" s="13">
        <v>1650</v>
      </c>
      <c r="L211" s="9">
        <v>47469294</v>
      </c>
    </row>
    <row r="212" spans="1:12" ht="16.5" customHeight="1">
      <c r="A212" s="1"/>
      <c r="B212" s="1" t="s">
        <v>8</v>
      </c>
      <c r="C212" s="6" t="s">
        <v>12</v>
      </c>
      <c r="D212" s="6" t="s">
        <v>19</v>
      </c>
      <c r="E212" s="5">
        <v>3.5</v>
      </c>
      <c r="F212" s="12" t="s">
        <v>24</v>
      </c>
      <c r="G212" s="13">
        <v>4441</v>
      </c>
      <c r="H212" s="9">
        <v>47469294</v>
      </c>
      <c r="I212" s="9">
        <v>4715</v>
      </c>
      <c r="J212" s="9">
        <v>47469294</v>
      </c>
      <c r="K212" s="13">
        <v>4829</v>
      </c>
      <c r="L212" s="9">
        <v>47469294</v>
      </c>
    </row>
    <row r="213" spans="1:12" ht="16.5" customHeight="1">
      <c r="A213" s="1"/>
      <c r="B213" s="23" t="s">
        <v>7</v>
      </c>
      <c r="C213" s="4" t="s">
        <v>12</v>
      </c>
      <c r="D213" s="4" t="s">
        <v>19</v>
      </c>
      <c r="E213" s="3">
        <v>3.5</v>
      </c>
      <c r="F213" s="12" t="s">
        <v>24</v>
      </c>
      <c r="G213" s="10">
        <v>1779</v>
      </c>
      <c r="H213" s="9">
        <v>47469294</v>
      </c>
      <c r="I213" s="11">
        <v>1814</v>
      </c>
      <c r="J213" s="9">
        <v>47469294</v>
      </c>
      <c r="K213" s="10">
        <v>1782</v>
      </c>
      <c r="L213" s="9">
        <v>47469294</v>
      </c>
    </row>
    <row r="214" spans="1:12" ht="16.5" customHeight="1">
      <c r="A214" s="1">
        <v>6245</v>
      </c>
      <c r="B214" s="196" t="s">
        <v>4</v>
      </c>
      <c r="C214" s="8" t="s">
        <v>12</v>
      </c>
      <c r="D214" s="8" t="s">
        <v>19</v>
      </c>
      <c r="E214" s="7">
        <v>4</v>
      </c>
      <c r="F214" s="15" t="s">
        <v>24</v>
      </c>
      <c r="G214" s="197">
        <f>$E214</f>
        <v>4</v>
      </c>
      <c r="H214" s="14">
        <v>47469295</v>
      </c>
      <c r="I214" s="197">
        <f>$E214</f>
        <v>4</v>
      </c>
      <c r="J214" s="204">
        <v>47776006</v>
      </c>
      <c r="K214" s="197">
        <f>$E214</f>
        <v>4</v>
      </c>
      <c r="L214" s="14">
        <v>47469295</v>
      </c>
    </row>
    <row r="215" spans="1:12" ht="16.5" customHeight="1">
      <c r="A215" s="1"/>
      <c r="B215" s="1" t="s">
        <v>11</v>
      </c>
      <c r="C215" s="6" t="s">
        <v>12</v>
      </c>
      <c r="D215" s="6" t="s">
        <v>19</v>
      </c>
      <c r="E215" s="5">
        <v>4</v>
      </c>
      <c r="F215" s="12" t="s">
        <v>24</v>
      </c>
      <c r="G215" s="13">
        <v>940</v>
      </c>
      <c r="H215" s="9">
        <v>47469295</v>
      </c>
      <c r="I215" s="9">
        <v>935</v>
      </c>
      <c r="J215" s="9">
        <v>47469295</v>
      </c>
      <c r="K215" s="13">
        <v>785</v>
      </c>
      <c r="L215" s="9">
        <v>47469295</v>
      </c>
    </row>
    <row r="216" spans="1:12" ht="16.5" customHeight="1">
      <c r="A216" s="1"/>
      <c r="B216" s="1" t="s">
        <v>10</v>
      </c>
      <c r="C216" s="6" t="s">
        <v>12</v>
      </c>
      <c r="D216" s="6" t="s">
        <v>19</v>
      </c>
      <c r="E216" s="5">
        <v>4</v>
      </c>
      <c r="F216" s="12" t="s">
        <v>24</v>
      </c>
      <c r="G216" s="13">
        <v>2850</v>
      </c>
      <c r="H216" s="9">
        <v>47469295</v>
      </c>
      <c r="I216" s="13">
        <v>2850</v>
      </c>
      <c r="J216" s="9">
        <v>47469295</v>
      </c>
      <c r="K216" s="13">
        <v>2850</v>
      </c>
      <c r="L216" s="9">
        <v>47469295</v>
      </c>
    </row>
    <row r="217" spans="1:12" ht="16.5" customHeight="1">
      <c r="A217" s="1"/>
      <c r="B217" s="1" t="s">
        <v>9</v>
      </c>
      <c r="C217" s="6" t="s">
        <v>12</v>
      </c>
      <c r="D217" s="6" t="s">
        <v>19</v>
      </c>
      <c r="E217" s="5">
        <v>4</v>
      </c>
      <c r="F217" s="12" t="s">
        <v>24</v>
      </c>
      <c r="G217" s="13">
        <v>1750</v>
      </c>
      <c r="H217" s="9">
        <v>47469295</v>
      </c>
      <c r="I217" s="13">
        <v>2128</v>
      </c>
      <c r="J217" s="9">
        <v>47469295</v>
      </c>
      <c r="K217" s="13">
        <v>1750</v>
      </c>
      <c r="L217" s="9">
        <v>47469295</v>
      </c>
    </row>
    <row r="218" spans="1:12" ht="16.5" customHeight="1">
      <c r="A218" s="1"/>
      <c r="B218" s="1" t="s">
        <v>8</v>
      </c>
      <c r="C218" s="6" t="s">
        <v>12</v>
      </c>
      <c r="D218" s="6" t="s">
        <v>19</v>
      </c>
      <c r="E218" s="5">
        <v>4</v>
      </c>
      <c r="F218" s="12" t="s">
        <v>24</v>
      </c>
      <c r="G218" s="13">
        <v>4476</v>
      </c>
      <c r="H218" s="9">
        <v>47469295</v>
      </c>
      <c r="I218" s="9">
        <v>4773</v>
      </c>
      <c r="J218" s="9">
        <v>47469295</v>
      </c>
      <c r="K218" s="13">
        <v>4864</v>
      </c>
      <c r="L218" s="9">
        <v>47469295</v>
      </c>
    </row>
    <row r="219" spans="1:12" ht="16.5" customHeight="1">
      <c r="A219" s="1"/>
      <c r="B219" s="23" t="s">
        <v>7</v>
      </c>
      <c r="C219" s="4" t="s">
        <v>12</v>
      </c>
      <c r="D219" s="4" t="s">
        <v>19</v>
      </c>
      <c r="E219" s="3">
        <v>4</v>
      </c>
      <c r="F219" s="12" t="s">
        <v>24</v>
      </c>
      <c r="G219" s="10">
        <v>1779</v>
      </c>
      <c r="H219" s="9">
        <v>47469295</v>
      </c>
      <c r="I219" s="11">
        <v>1731</v>
      </c>
      <c r="J219" s="9">
        <v>47469295</v>
      </c>
      <c r="K219" s="10">
        <v>1782</v>
      </c>
      <c r="L219" s="9">
        <v>47469295</v>
      </c>
    </row>
    <row r="220" spans="1:12" ht="16.5" customHeight="1">
      <c r="A220" s="1"/>
      <c r="B220" s="196" t="s">
        <v>4</v>
      </c>
      <c r="C220" s="8" t="s">
        <v>12</v>
      </c>
      <c r="D220" s="8" t="s">
        <v>19</v>
      </c>
      <c r="E220" s="7">
        <v>4.5</v>
      </c>
      <c r="F220" s="15" t="s">
        <v>24</v>
      </c>
      <c r="G220" s="197">
        <f>$E220</f>
        <v>4.5</v>
      </c>
      <c r="H220" s="14">
        <v>47469296</v>
      </c>
      <c r="I220" s="197">
        <f>$E220</f>
        <v>4.5</v>
      </c>
      <c r="J220" s="204">
        <v>47776007</v>
      </c>
      <c r="K220" s="197">
        <f>$E220</f>
        <v>4.5</v>
      </c>
      <c r="L220" s="14">
        <v>47469296</v>
      </c>
    </row>
    <row r="221" spans="1:12" ht="16.5" customHeight="1">
      <c r="A221" s="1"/>
      <c r="B221" s="1" t="s">
        <v>11</v>
      </c>
      <c r="C221" s="6" t="s">
        <v>12</v>
      </c>
      <c r="D221" s="6" t="s">
        <v>19</v>
      </c>
      <c r="E221" s="5">
        <v>4.5</v>
      </c>
      <c r="F221" s="12" t="s">
        <v>24</v>
      </c>
      <c r="G221" s="13">
        <v>855</v>
      </c>
      <c r="H221" s="9">
        <v>47469296</v>
      </c>
      <c r="I221" s="9">
        <v>855</v>
      </c>
      <c r="J221" s="9">
        <v>47469296</v>
      </c>
      <c r="K221" s="13">
        <v>700</v>
      </c>
      <c r="L221" s="9">
        <v>47469296</v>
      </c>
    </row>
    <row r="222" spans="1:12" ht="16.5" customHeight="1">
      <c r="A222" s="1"/>
      <c r="B222" s="1" t="s">
        <v>10</v>
      </c>
      <c r="C222" s="6" t="s">
        <v>12</v>
      </c>
      <c r="D222" s="6" t="s">
        <v>19</v>
      </c>
      <c r="E222" s="5">
        <v>4.5</v>
      </c>
      <c r="F222" s="12" t="s">
        <v>24</v>
      </c>
      <c r="G222" s="13">
        <v>2850</v>
      </c>
      <c r="H222" s="9">
        <v>47469296</v>
      </c>
      <c r="I222" s="13">
        <v>2850</v>
      </c>
      <c r="J222" s="9">
        <v>47469296</v>
      </c>
      <c r="K222" s="13">
        <v>2850</v>
      </c>
      <c r="L222" s="9">
        <v>47469296</v>
      </c>
    </row>
    <row r="223" spans="1:12" ht="16.5" customHeight="1">
      <c r="A223" s="1"/>
      <c r="B223" s="1" t="s">
        <v>9</v>
      </c>
      <c r="C223" s="6" t="s">
        <v>12</v>
      </c>
      <c r="D223" s="6" t="s">
        <v>19</v>
      </c>
      <c r="E223" s="5">
        <v>4.5</v>
      </c>
      <c r="F223" s="12" t="s">
        <v>24</v>
      </c>
      <c r="G223" s="13">
        <v>1850</v>
      </c>
      <c r="H223" s="9">
        <v>47469296</v>
      </c>
      <c r="I223" s="13">
        <v>2228</v>
      </c>
      <c r="J223" s="9">
        <v>47469296</v>
      </c>
      <c r="K223" s="13">
        <v>1850</v>
      </c>
      <c r="L223" s="9">
        <v>47469296</v>
      </c>
    </row>
    <row r="224" spans="1:12" ht="16.5" customHeight="1">
      <c r="A224" s="1"/>
      <c r="B224" s="1" t="s">
        <v>8</v>
      </c>
      <c r="C224" s="6" t="s">
        <v>12</v>
      </c>
      <c r="D224" s="6" t="s">
        <v>19</v>
      </c>
      <c r="E224" s="5">
        <v>4.5</v>
      </c>
      <c r="F224" s="12" t="s">
        <v>24</v>
      </c>
      <c r="G224" s="13">
        <v>4467</v>
      </c>
      <c r="H224" s="9">
        <v>47469296</v>
      </c>
      <c r="I224" s="9">
        <v>4766</v>
      </c>
      <c r="J224" s="9">
        <v>47469296</v>
      </c>
      <c r="K224" s="13">
        <v>4855</v>
      </c>
      <c r="L224" s="9">
        <v>47469296</v>
      </c>
    </row>
    <row r="225" spans="1:12" ht="16.5" customHeight="1">
      <c r="A225" s="1"/>
      <c r="B225" s="23" t="s">
        <v>7</v>
      </c>
      <c r="C225" s="4" t="s">
        <v>12</v>
      </c>
      <c r="D225" s="4" t="s">
        <v>19</v>
      </c>
      <c r="E225" s="3">
        <v>4.5</v>
      </c>
      <c r="F225" s="12" t="s">
        <v>24</v>
      </c>
      <c r="G225" s="10">
        <v>1869</v>
      </c>
      <c r="H225" s="9">
        <v>47469296</v>
      </c>
      <c r="I225" s="11">
        <v>1824</v>
      </c>
      <c r="J225" s="9">
        <v>47469296</v>
      </c>
      <c r="K225" s="10">
        <v>1872</v>
      </c>
      <c r="L225" s="9">
        <v>47469296</v>
      </c>
    </row>
    <row r="226" spans="1:12" ht="16.5" customHeight="1">
      <c r="A226" s="1"/>
      <c r="B226" s="196" t="s">
        <v>4</v>
      </c>
      <c r="C226" s="8" t="s">
        <v>12</v>
      </c>
      <c r="D226" s="8" t="s">
        <v>19</v>
      </c>
      <c r="E226" s="7">
        <v>5</v>
      </c>
      <c r="F226" s="15" t="s">
        <v>24</v>
      </c>
      <c r="G226" s="197">
        <f>$E226</f>
        <v>5</v>
      </c>
      <c r="H226" s="14">
        <v>47469297</v>
      </c>
      <c r="I226" s="197">
        <f>$E226</f>
        <v>5</v>
      </c>
      <c r="J226" s="204">
        <v>47776008</v>
      </c>
      <c r="K226" s="197">
        <f>$E226</f>
        <v>5</v>
      </c>
      <c r="L226" s="14">
        <v>47469297</v>
      </c>
    </row>
    <row r="227" spans="1:12" ht="16.5" customHeight="1">
      <c r="A227" s="1"/>
      <c r="B227" s="1" t="s">
        <v>11</v>
      </c>
      <c r="C227" s="6" t="s">
        <v>12</v>
      </c>
      <c r="D227" s="6" t="s">
        <v>19</v>
      </c>
      <c r="E227" s="5">
        <v>5</v>
      </c>
      <c r="F227" s="12" t="s">
        <v>24</v>
      </c>
      <c r="G227" s="13">
        <v>710</v>
      </c>
      <c r="H227" s="9">
        <v>47469297</v>
      </c>
      <c r="I227" s="9">
        <v>700</v>
      </c>
      <c r="J227" s="9">
        <v>47469297</v>
      </c>
      <c r="K227" s="13">
        <v>560</v>
      </c>
      <c r="L227" s="9">
        <v>47469297</v>
      </c>
    </row>
    <row r="228" spans="1:12" ht="16.5" customHeight="1">
      <c r="A228" s="1"/>
      <c r="B228" s="1" t="s">
        <v>10</v>
      </c>
      <c r="C228" s="6" t="s">
        <v>12</v>
      </c>
      <c r="D228" s="6" t="s">
        <v>19</v>
      </c>
      <c r="E228" s="5">
        <v>5</v>
      </c>
      <c r="F228" s="12" t="s">
        <v>24</v>
      </c>
      <c r="G228" s="13">
        <v>3000</v>
      </c>
      <c r="H228" s="9">
        <v>47469297</v>
      </c>
      <c r="I228" s="13">
        <v>3000</v>
      </c>
      <c r="J228" s="9">
        <v>47469297</v>
      </c>
      <c r="K228" s="13">
        <v>3000</v>
      </c>
      <c r="L228" s="9">
        <v>47469297</v>
      </c>
    </row>
    <row r="229" spans="1:12" ht="16.5" customHeight="1">
      <c r="A229" s="1"/>
      <c r="B229" s="1" t="s">
        <v>9</v>
      </c>
      <c r="C229" s="6" t="s">
        <v>12</v>
      </c>
      <c r="D229" s="6" t="s">
        <v>19</v>
      </c>
      <c r="E229" s="5">
        <v>5</v>
      </c>
      <c r="F229" s="12" t="s">
        <v>24</v>
      </c>
      <c r="G229" s="13">
        <v>2140</v>
      </c>
      <c r="H229" s="9">
        <v>47469297</v>
      </c>
      <c r="I229" s="13">
        <v>2518</v>
      </c>
      <c r="J229" s="9">
        <v>47469297</v>
      </c>
      <c r="K229" s="13">
        <v>2140</v>
      </c>
      <c r="L229" s="9">
        <v>47469297</v>
      </c>
    </row>
    <row r="230" spans="1:12" ht="16.5" customHeight="1">
      <c r="A230" s="1"/>
      <c r="B230" s="1" t="s">
        <v>8</v>
      </c>
      <c r="C230" s="6" t="s">
        <v>12</v>
      </c>
      <c r="D230" s="6" t="s">
        <v>19</v>
      </c>
      <c r="E230" s="5">
        <v>5</v>
      </c>
      <c r="F230" s="12" t="s">
        <v>24</v>
      </c>
      <c r="G230" s="13">
        <v>4316</v>
      </c>
      <c r="H230" s="9">
        <v>47469297</v>
      </c>
      <c r="I230" s="9">
        <v>4749</v>
      </c>
      <c r="J230" s="9">
        <v>47469297</v>
      </c>
      <c r="K230" s="13">
        <v>4704</v>
      </c>
      <c r="L230" s="9">
        <v>47469297</v>
      </c>
    </row>
    <row r="231" spans="1:12" ht="16.5" customHeight="1">
      <c r="A231" s="1"/>
      <c r="B231" s="23" t="s">
        <v>7</v>
      </c>
      <c r="C231" s="4" t="s">
        <v>12</v>
      </c>
      <c r="D231" s="4" t="s">
        <v>19</v>
      </c>
      <c r="E231" s="3">
        <v>5</v>
      </c>
      <c r="F231" s="12" t="s">
        <v>24</v>
      </c>
      <c r="G231" s="10">
        <v>1907</v>
      </c>
      <c r="H231" s="9">
        <v>47469297</v>
      </c>
      <c r="I231" s="11">
        <v>1835</v>
      </c>
      <c r="J231" s="9">
        <v>47469297</v>
      </c>
      <c r="K231" s="10">
        <v>1909</v>
      </c>
      <c r="L231" s="9">
        <v>47469297</v>
      </c>
    </row>
    <row r="232" spans="1:12" ht="16.5" customHeight="1">
      <c r="A232" s="1"/>
      <c r="B232" s="196" t="s">
        <v>4</v>
      </c>
      <c r="C232" s="8" t="s">
        <v>12</v>
      </c>
      <c r="D232" s="8" t="s">
        <v>3</v>
      </c>
      <c r="E232" s="7">
        <v>3.5</v>
      </c>
      <c r="F232" s="15" t="s">
        <v>24</v>
      </c>
      <c r="G232" s="197">
        <f>$E232</f>
        <v>3.5</v>
      </c>
      <c r="H232" s="14">
        <v>47469298</v>
      </c>
      <c r="I232" s="197">
        <f>$E232</f>
        <v>3.5</v>
      </c>
      <c r="J232" s="14">
        <v>47535801</v>
      </c>
      <c r="K232" s="197">
        <f>$E232</f>
        <v>3.5</v>
      </c>
      <c r="L232" s="14">
        <v>47469298</v>
      </c>
    </row>
    <row r="233" spans="1:12" ht="16.5" customHeight="1">
      <c r="A233" s="1"/>
      <c r="B233" s="1" t="s">
        <v>11</v>
      </c>
      <c r="C233" s="6" t="s">
        <v>12</v>
      </c>
      <c r="D233" s="6" t="s">
        <v>3</v>
      </c>
      <c r="E233" s="5">
        <v>3.5</v>
      </c>
      <c r="F233" s="12" t="s">
        <v>24</v>
      </c>
      <c r="G233" s="13">
        <v>1220</v>
      </c>
      <c r="H233" s="9">
        <v>47469298</v>
      </c>
      <c r="I233" s="9">
        <v>1160</v>
      </c>
      <c r="J233" s="9">
        <v>47535801</v>
      </c>
      <c r="K233" s="13">
        <v>1025</v>
      </c>
      <c r="L233" s="9">
        <v>47469298</v>
      </c>
    </row>
    <row r="234" spans="1:12" ht="16.5" customHeight="1">
      <c r="A234" s="1"/>
      <c r="B234" s="1" t="s">
        <v>10</v>
      </c>
      <c r="C234" s="6" t="s">
        <v>12</v>
      </c>
      <c r="D234" s="6" t="s">
        <v>3</v>
      </c>
      <c r="E234" s="5">
        <v>3.5</v>
      </c>
      <c r="F234" s="12" t="s">
        <v>24</v>
      </c>
      <c r="G234" s="13">
        <v>2500</v>
      </c>
      <c r="H234" s="9">
        <v>47469298</v>
      </c>
      <c r="I234" s="13">
        <v>2500</v>
      </c>
      <c r="J234" s="9">
        <v>47535801</v>
      </c>
      <c r="K234" s="13">
        <v>2500</v>
      </c>
      <c r="L234" s="9">
        <v>47469298</v>
      </c>
    </row>
    <row r="235" spans="1:12" ht="16.5" customHeight="1">
      <c r="A235" s="1"/>
      <c r="B235" s="1" t="s">
        <v>9</v>
      </c>
      <c r="C235" s="6" t="s">
        <v>12</v>
      </c>
      <c r="D235" s="6" t="s">
        <v>3</v>
      </c>
      <c r="E235" s="5">
        <v>3.5</v>
      </c>
      <c r="F235" s="12" t="s">
        <v>24</v>
      </c>
      <c r="G235" s="13">
        <v>1750</v>
      </c>
      <c r="H235" s="9">
        <v>47469298</v>
      </c>
      <c r="I235" s="13">
        <v>1750</v>
      </c>
      <c r="J235" s="9">
        <v>47535801</v>
      </c>
      <c r="K235" s="13">
        <v>1750</v>
      </c>
      <c r="L235" s="9">
        <v>47469298</v>
      </c>
    </row>
    <row r="236" spans="1:12" ht="16.5" customHeight="1">
      <c r="A236" s="1"/>
      <c r="B236" s="1" t="s">
        <v>8</v>
      </c>
      <c r="C236" s="6" t="s">
        <v>12</v>
      </c>
      <c r="D236" s="6" t="s">
        <v>3</v>
      </c>
      <c r="E236" s="5">
        <v>3.5</v>
      </c>
      <c r="F236" s="12" t="s">
        <v>24</v>
      </c>
      <c r="G236" s="13">
        <v>4510</v>
      </c>
      <c r="H236" s="9">
        <v>47469298</v>
      </c>
      <c r="I236" s="9">
        <v>4651</v>
      </c>
      <c r="J236" s="9">
        <v>47535801</v>
      </c>
      <c r="K236" s="13">
        <v>4899</v>
      </c>
      <c r="L236" s="9">
        <v>47469298</v>
      </c>
    </row>
    <row r="237" spans="1:12" ht="16.5" customHeight="1">
      <c r="A237" s="1"/>
      <c r="B237" s="23" t="s">
        <v>7</v>
      </c>
      <c r="C237" s="4" t="s">
        <v>12</v>
      </c>
      <c r="D237" s="4" t="s">
        <v>3</v>
      </c>
      <c r="E237" s="3">
        <v>3.5</v>
      </c>
      <c r="F237" s="12" t="s">
        <v>24</v>
      </c>
      <c r="G237" s="10">
        <v>1542</v>
      </c>
      <c r="H237" s="9">
        <v>47469298</v>
      </c>
      <c r="I237" s="11">
        <v>1628</v>
      </c>
      <c r="J237" s="9">
        <v>47535801</v>
      </c>
      <c r="K237" s="10">
        <v>1546</v>
      </c>
      <c r="L237" s="9">
        <v>47469298</v>
      </c>
    </row>
    <row r="238" spans="1:12" ht="16.5" customHeight="1">
      <c r="A238" s="1"/>
      <c r="B238" s="196" t="s">
        <v>4</v>
      </c>
      <c r="C238" s="8" t="s">
        <v>12</v>
      </c>
      <c r="D238" s="8" t="s">
        <v>3</v>
      </c>
      <c r="E238" s="7">
        <v>4</v>
      </c>
      <c r="F238" s="15" t="s">
        <v>24</v>
      </c>
      <c r="G238" s="197">
        <f>$E238</f>
        <v>4</v>
      </c>
      <c r="H238" s="14">
        <v>47469300</v>
      </c>
      <c r="I238" s="197">
        <f>$E238</f>
        <v>4</v>
      </c>
      <c r="J238" s="14">
        <v>47535803</v>
      </c>
      <c r="K238" s="197">
        <f>$E238</f>
        <v>4</v>
      </c>
      <c r="L238" s="14">
        <v>47469300</v>
      </c>
    </row>
    <row r="239" spans="1:12" ht="16.5" customHeight="1">
      <c r="A239" s="1"/>
      <c r="B239" s="1" t="s">
        <v>11</v>
      </c>
      <c r="C239" s="6" t="s">
        <v>12</v>
      </c>
      <c r="D239" s="6" t="s">
        <v>3</v>
      </c>
      <c r="E239" s="5">
        <v>4</v>
      </c>
      <c r="F239" s="12" t="s">
        <v>24</v>
      </c>
      <c r="G239" s="13">
        <v>1055</v>
      </c>
      <c r="H239" s="9">
        <v>47469300</v>
      </c>
      <c r="I239" s="9">
        <v>1000</v>
      </c>
      <c r="J239" s="9">
        <v>47535803</v>
      </c>
      <c r="K239" s="13">
        <v>885</v>
      </c>
      <c r="L239" s="9">
        <v>47469300</v>
      </c>
    </row>
    <row r="240" spans="1:12" ht="16.5" customHeight="1">
      <c r="A240" s="1"/>
      <c r="B240" s="1" t="s">
        <v>10</v>
      </c>
      <c r="C240" s="6" t="s">
        <v>12</v>
      </c>
      <c r="D240" s="6" t="s">
        <v>3</v>
      </c>
      <c r="E240" s="5">
        <v>4</v>
      </c>
      <c r="F240" s="12" t="s">
        <v>24</v>
      </c>
      <c r="G240" s="13">
        <v>2850</v>
      </c>
      <c r="H240" s="9">
        <v>47469300</v>
      </c>
      <c r="I240" s="13">
        <v>2850</v>
      </c>
      <c r="J240" s="9">
        <v>47535803</v>
      </c>
      <c r="K240" s="13">
        <v>2850</v>
      </c>
      <c r="L240" s="9">
        <v>47469300</v>
      </c>
    </row>
    <row r="241" spans="1:12" ht="16.5" customHeight="1">
      <c r="A241" s="1"/>
      <c r="B241" s="1" t="s">
        <v>9</v>
      </c>
      <c r="C241" s="6" t="s">
        <v>12</v>
      </c>
      <c r="D241" s="6" t="s">
        <v>3</v>
      </c>
      <c r="E241" s="5">
        <v>4</v>
      </c>
      <c r="F241" s="12" t="s">
        <v>24</v>
      </c>
      <c r="G241" s="13">
        <v>1850</v>
      </c>
      <c r="H241" s="9">
        <v>47469300</v>
      </c>
      <c r="I241" s="13">
        <v>1850</v>
      </c>
      <c r="J241" s="9">
        <v>47535803</v>
      </c>
      <c r="K241" s="13">
        <v>1850</v>
      </c>
      <c r="L241" s="9">
        <v>47469300</v>
      </c>
    </row>
    <row r="242" spans="1:12" ht="16.5" customHeight="1">
      <c r="A242" s="1"/>
      <c r="B242" s="1" t="s">
        <v>8</v>
      </c>
      <c r="C242" s="6" t="s">
        <v>12</v>
      </c>
      <c r="D242" s="6" t="s">
        <v>3</v>
      </c>
      <c r="E242" s="5">
        <v>4</v>
      </c>
      <c r="F242" s="12" t="s">
        <v>24</v>
      </c>
      <c r="G242" s="13">
        <v>4510</v>
      </c>
      <c r="H242" s="9">
        <v>47469300</v>
      </c>
      <c r="I242" s="9">
        <v>4651</v>
      </c>
      <c r="J242" s="9">
        <v>47535803</v>
      </c>
      <c r="K242" s="13">
        <v>4899</v>
      </c>
      <c r="L242" s="9">
        <v>47469300</v>
      </c>
    </row>
    <row r="243" spans="1:12" ht="16.5" customHeight="1">
      <c r="A243" s="1"/>
      <c r="B243" s="23" t="s">
        <v>7</v>
      </c>
      <c r="C243" s="4" t="s">
        <v>12</v>
      </c>
      <c r="D243" s="4" t="s">
        <v>3</v>
      </c>
      <c r="E243" s="3">
        <v>4</v>
      </c>
      <c r="F243" s="12" t="s">
        <v>24</v>
      </c>
      <c r="G243" s="10">
        <v>1542</v>
      </c>
      <c r="H243" s="9">
        <v>47469300</v>
      </c>
      <c r="I243" s="11">
        <v>1628</v>
      </c>
      <c r="J243" s="9">
        <v>47535803</v>
      </c>
      <c r="K243" s="10">
        <v>1546</v>
      </c>
      <c r="L243" s="9">
        <v>47469300</v>
      </c>
    </row>
    <row r="244" spans="1:12" ht="16.5" customHeight="1">
      <c r="A244" s="1"/>
      <c r="B244" s="196" t="s">
        <v>4</v>
      </c>
      <c r="C244" s="8" t="s">
        <v>12</v>
      </c>
      <c r="D244" s="8" t="s">
        <v>3</v>
      </c>
      <c r="E244" s="7">
        <v>4.5</v>
      </c>
      <c r="F244" s="15" t="s">
        <v>24</v>
      </c>
      <c r="G244" s="197">
        <f>$E244</f>
        <v>4.5</v>
      </c>
      <c r="H244" s="14">
        <v>47469301</v>
      </c>
      <c r="I244" s="197">
        <f>$E244</f>
        <v>4.5</v>
      </c>
      <c r="J244" s="14">
        <v>47535804</v>
      </c>
      <c r="K244" s="197">
        <f>$E244</f>
        <v>4.5</v>
      </c>
      <c r="L244" s="14">
        <v>47469301</v>
      </c>
    </row>
    <row r="245" spans="1:12" ht="16.5" customHeight="1">
      <c r="A245" s="1"/>
      <c r="B245" s="1" t="s">
        <v>11</v>
      </c>
      <c r="C245" s="6" t="s">
        <v>12</v>
      </c>
      <c r="D245" s="6" t="s">
        <v>3</v>
      </c>
      <c r="E245" s="5">
        <v>4.5</v>
      </c>
      <c r="F245" s="12" t="s">
        <v>24</v>
      </c>
      <c r="G245" s="13">
        <v>965</v>
      </c>
      <c r="H245" s="9">
        <v>47469301</v>
      </c>
      <c r="I245" s="9">
        <v>915</v>
      </c>
      <c r="J245" s="9">
        <v>47535804</v>
      </c>
      <c r="K245" s="13">
        <v>800</v>
      </c>
      <c r="L245" s="9">
        <v>47469301</v>
      </c>
    </row>
    <row r="246" spans="1:12" ht="16.5" customHeight="1">
      <c r="A246" s="1"/>
      <c r="B246" s="1" t="s">
        <v>10</v>
      </c>
      <c r="C246" s="6" t="s">
        <v>12</v>
      </c>
      <c r="D246" s="6" t="s">
        <v>3</v>
      </c>
      <c r="E246" s="5">
        <v>4.5</v>
      </c>
      <c r="F246" s="12" t="s">
        <v>24</v>
      </c>
      <c r="G246" s="13">
        <v>2850</v>
      </c>
      <c r="H246" s="9">
        <v>47469301</v>
      </c>
      <c r="I246" s="13">
        <v>2850</v>
      </c>
      <c r="J246" s="9">
        <v>47535804</v>
      </c>
      <c r="K246" s="13">
        <v>2850</v>
      </c>
      <c r="L246" s="9">
        <v>47469301</v>
      </c>
    </row>
    <row r="247" spans="1:12" ht="16.5" customHeight="1">
      <c r="A247" s="1"/>
      <c r="B247" s="1" t="s">
        <v>9</v>
      </c>
      <c r="C247" s="6" t="s">
        <v>12</v>
      </c>
      <c r="D247" s="6" t="s">
        <v>3</v>
      </c>
      <c r="E247" s="5">
        <v>4.5</v>
      </c>
      <c r="F247" s="12" t="s">
        <v>24</v>
      </c>
      <c r="G247" s="13">
        <v>1950</v>
      </c>
      <c r="H247" s="9">
        <v>47469301</v>
      </c>
      <c r="I247" s="13">
        <v>1950</v>
      </c>
      <c r="J247" s="9">
        <v>47535804</v>
      </c>
      <c r="K247" s="13">
        <v>1950</v>
      </c>
      <c r="L247" s="9">
        <v>47469301</v>
      </c>
    </row>
    <row r="248" spans="1:12" ht="16.5" customHeight="1">
      <c r="A248" s="1"/>
      <c r="B248" s="1" t="s">
        <v>8</v>
      </c>
      <c r="C248" s="6" t="s">
        <v>12</v>
      </c>
      <c r="D248" s="6" t="s">
        <v>3</v>
      </c>
      <c r="E248" s="5">
        <v>4.5</v>
      </c>
      <c r="F248" s="12" t="s">
        <v>24</v>
      </c>
      <c r="G248" s="13">
        <v>4510</v>
      </c>
      <c r="H248" s="9">
        <v>47469301</v>
      </c>
      <c r="I248" s="9">
        <v>4651</v>
      </c>
      <c r="J248" s="9">
        <v>47535804</v>
      </c>
      <c r="K248" s="13">
        <v>4898</v>
      </c>
      <c r="L248" s="9">
        <v>47469301</v>
      </c>
    </row>
    <row r="249" spans="1:12" ht="16.5" customHeight="1">
      <c r="A249" s="1"/>
      <c r="B249" s="23" t="s">
        <v>7</v>
      </c>
      <c r="C249" s="4" t="s">
        <v>12</v>
      </c>
      <c r="D249" s="4" t="s">
        <v>3</v>
      </c>
      <c r="E249" s="3">
        <v>4.5</v>
      </c>
      <c r="F249" s="12" t="s">
        <v>24</v>
      </c>
      <c r="G249" s="10">
        <v>1633</v>
      </c>
      <c r="H249" s="9">
        <v>47469301</v>
      </c>
      <c r="I249" s="11">
        <v>1718</v>
      </c>
      <c r="J249" s="9">
        <v>47535804</v>
      </c>
      <c r="K249" s="10">
        <v>1636</v>
      </c>
      <c r="L249" s="9">
        <v>47469301</v>
      </c>
    </row>
    <row r="250" spans="1:12" ht="16.5" customHeight="1">
      <c r="A250" s="1"/>
      <c r="B250" s="196" t="s">
        <v>4</v>
      </c>
      <c r="C250" s="8" t="s">
        <v>12</v>
      </c>
      <c r="D250" s="8" t="s">
        <v>3</v>
      </c>
      <c r="E250" s="7">
        <v>5</v>
      </c>
      <c r="F250" s="15" t="s">
        <v>24</v>
      </c>
      <c r="G250" s="197">
        <f>$E250</f>
        <v>5</v>
      </c>
      <c r="H250" s="14">
        <v>47469302</v>
      </c>
      <c r="I250" s="197">
        <f>$E250</f>
        <v>5</v>
      </c>
      <c r="J250" s="14">
        <v>47535805</v>
      </c>
      <c r="K250" s="197">
        <f>$E250</f>
        <v>5</v>
      </c>
      <c r="L250" s="14">
        <v>47469302</v>
      </c>
    </row>
    <row r="251" spans="1:12" ht="16.5" customHeight="1">
      <c r="A251" s="1"/>
      <c r="B251" s="1" t="s">
        <v>11</v>
      </c>
      <c r="C251" s="6" t="s">
        <v>12</v>
      </c>
      <c r="D251" s="6" t="s">
        <v>3</v>
      </c>
      <c r="E251" s="5">
        <v>5</v>
      </c>
      <c r="F251" s="12" t="s">
        <v>24</v>
      </c>
      <c r="G251" s="13">
        <v>810</v>
      </c>
      <c r="H251" s="9">
        <v>47469302</v>
      </c>
      <c r="I251" s="9">
        <v>760</v>
      </c>
      <c r="J251" s="9">
        <v>47535805</v>
      </c>
      <c r="K251" s="13">
        <v>660</v>
      </c>
      <c r="L251" s="9">
        <v>47469302</v>
      </c>
    </row>
    <row r="252" spans="1:12" ht="16.5" customHeight="1">
      <c r="A252" s="1"/>
      <c r="B252" s="1" t="s">
        <v>10</v>
      </c>
      <c r="C252" s="6" t="s">
        <v>12</v>
      </c>
      <c r="D252" s="6" t="s">
        <v>3</v>
      </c>
      <c r="E252" s="5">
        <v>5</v>
      </c>
      <c r="F252" s="12" t="s">
        <v>24</v>
      </c>
      <c r="G252" s="13">
        <v>3000</v>
      </c>
      <c r="H252" s="9">
        <v>47469302</v>
      </c>
      <c r="I252" s="13">
        <v>3000</v>
      </c>
      <c r="J252" s="9">
        <v>47535805</v>
      </c>
      <c r="K252" s="13">
        <v>3000</v>
      </c>
      <c r="L252" s="9">
        <v>47469302</v>
      </c>
    </row>
    <row r="253" spans="1:12" ht="16.5" customHeight="1">
      <c r="A253" s="1"/>
      <c r="B253" s="1" t="s">
        <v>9</v>
      </c>
      <c r="C253" s="6" t="s">
        <v>12</v>
      </c>
      <c r="D253" s="6" t="s">
        <v>3</v>
      </c>
      <c r="E253" s="5">
        <v>5</v>
      </c>
      <c r="F253" s="12" t="s">
        <v>24</v>
      </c>
      <c r="G253" s="13">
        <v>2220</v>
      </c>
      <c r="H253" s="9">
        <v>47469302</v>
      </c>
      <c r="I253" s="13">
        <v>2200</v>
      </c>
      <c r="J253" s="9">
        <v>47535805</v>
      </c>
      <c r="K253" s="13">
        <v>2220</v>
      </c>
      <c r="L253" s="9">
        <v>47469302</v>
      </c>
    </row>
    <row r="254" spans="1:12" ht="16.5" customHeight="1">
      <c r="A254" s="1"/>
      <c r="B254" s="1" t="s">
        <v>8</v>
      </c>
      <c r="C254" s="6" t="s">
        <v>12</v>
      </c>
      <c r="D254" s="6" t="s">
        <v>3</v>
      </c>
      <c r="E254" s="5">
        <v>5</v>
      </c>
      <c r="F254" s="12" t="s">
        <v>24</v>
      </c>
      <c r="G254" s="13">
        <v>4390</v>
      </c>
      <c r="H254" s="9">
        <v>47469302</v>
      </c>
      <c r="I254" s="9">
        <v>4510</v>
      </c>
      <c r="J254" s="9">
        <v>47535805</v>
      </c>
      <c r="K254" s="13">
        <v>4778</v>
      </c>
      <c r="L254" s="9">
        <v>47469302</v>
      </c>
    </row>
    <row r="255" spans="1:12" ht="16.5" customHeight="1">
      <c r="A255" s="1"/>
      <c r="B255" s="23" t="s">
        <v>7</v>
      </c>
      <c r="C255" s="4" t="s">
        <v>12</v>
      </c>
      <c r="D255" s="4" t="s">
        <v>3</v>
      </c>
      <c r="E255" s="3">
        <v>5</v>
      </c>
      <c r="F255" s="12" t="s">
        <v>24</v>
      </c>
      <c r="G255" s="10">
        <v>1766</v>
      </c>
      <c r="H255" s="9">
        <v>47469302</v>
      </c>
      <c r="I255" s="11">
        <v>1838</v>
      </c>
      <c r="J255" s="9">
        <v>47535805</v>
      </c>
      <c r="K255" s="10">
        <v>1769</v>
      </c>
      <c r="L255" s="9">
        <v>47469302</v>
      </c>
    </row>
    <row r="256" spans="1:12" ht="16.5" customHeight="1">
      <c r="A256" s="1"/>
      <c r="B256" s="196" t="s">
        <v>4</v>
      </c>
      <c r="C256" s="8" t="s">
        <v>12</v>
      </c>
      <c r="D256" s="8" t="s">
        <v>3</v>
      </c>
      <c r="E256" s="7">
        <v>6</v>
      </c>
      <c r="F256" s="15" t="s">
        <v>24</v>
      </c>
      <c r="G256" s="197">
        <f>$E256</f>
        <v>6</v>
      </c>
      <c r="H256" s="14">
        <v>47469303</v>
      </c>
      <c r="I256" s="197">
        <f>$E256</f>
        <v>6</v>
      </c>
      <c r="J256" s="14">
        <v>47535806</v>
      </c>
      <c r="K256" s="197">
        <f>$E256</f>
        <v>6</v>
      </c>
      <c r="L256" s="14">
        <v>47469303</v>
      </c>
    </row>
    <row r="257" spans="1:12" ht="16.5" customHeight="1">
      <c r="A257" s="1"/>
      <c r="B257" s="1" t="s">
        <v>11</v>
      </c>
      <c r="C257" s="6" t="s">
        <v>12</v>
      </c>
      <c r="D257" s="6" t="s">
        <v>3</v>
      </c>
      <c r="E257" s="5">
        <v>6</v>
      </c>
      <c r="F257" s="12" t="s">
        <v>24</v>
      </c>
      <c r="G257" s="13">
        <v>660</v>
      </c>
      <c r="H257" s="9">
        <v>47469303</v>
      </c>
      <c r="I257" s="9">
        <v>635</v>
      </c>
      <c r="J257" s="9">
        <v>47535806</v>
      </c>
      <c r="K257" s="13">
        <v>525</v>
      </c>
      <c r="L257" s="9">
        <v>47469303</v>
      </c>
    </row>
    <row r="258" spans="1:12" ht="16.5" customHeight="1">
      <c r="A258" s="1"/>
      <c r="B258" s="1" t="s">
        <v>10</v>
      </c>
      <c r="C258" s="6" t="s">
        <v>12</v>
      </c>
      <c r="D258" s="6" t="s">
        <v>3</v>
      </c>
      <c r="E258" s="5">
        <v>6</v>
      </c>
      <c r="F258" s="12" t="s">
        <v>24</v>
      </c>
      <c r="G258" s="13">
        <v>3200</v>
      </c>
      <c r="H258" s="9">
        <v>47469303</v>
      </c>
      <c r="I258" s="13">
        <v>3200</v>
      </c>
      <c r="J258" s="9">
        <v>47535806</v>
      </c>
      <c r="K258" s="13">
        <v>3200</v>
      </c>
      <c r="L258" s="9">
        <v>47469303</v>
      </c>
    </row>
    <row r="259" spans="1:12" ht="16.5" customHeight="1">
      <c r="A259" s="1"/>
      <c r="B259" s="1" t="s">
        <v>9</v>
      </c>
      <c r="C259" s="6" t="s">
        <v>12</v>
      </c>
      <c r="D259" s="6" t="s">
        <v>3</v>
      </c>
      <c r="E259" s="5">
        <v>6</v>
      </c>
      <c r="F259" s="12" t="s">
        <v>24</v>
      </c>
      <c r="G259" s="13">
        <v>2350</v>
      </c>
      <c r="H259" s="9">
        <v>47469303</v>
      </c>
      <c r="I259" s="13">
        <v>2350</v>
      </c>
      <c r="J259" s="9">
        <v>47535806</v>
      </c>
      <c r="K259" s="13">
        <v>2350</v>
      </c>
      <c r="L259" s="9">
        <v>47469303</v>
      </c>
    </row>
    <row r="260" spans="1:12" ht="16.5" customHeight="1">
      <c r="A260" s="1"/>
      <c r="B260" s="1" t="s">
        <v>8</v>
      </c>
      <c r="C260" s="6" t="s">
        <v>12</v>
      </c>
      <c r="D260" s="6" t="s">
        <v>3</v>
      </c>
      <c r="E260" s="5">
        <v>6</v>
      </c>
      <c r="F260" s="12" t="s">
        <v>24</v>
      </c>
      <c r="G260" s="13">
        <v>4413</v>
      </c>
      <c r="H260" s="9">
        <v>47469303</v>
      </c>
      <c r="I260" s="9">
        <v>4556</v>
      </c>
      <c r="J260" s="9">
        <v>47535806</v>
      </c>
      <c r="K260" s="13">
        <v>4801</v>
      </c>
      <c r="L260" s="9">
        <v>47469303</v>
      </c>
    </row>
    <row r="261" spans="1:12" ht="16.5" customHeight="1">
      <c r="A261" s="1"/>
      <c r="B261" s="23" t="s">
        <v>7</v>
      </c>
      <c r="C261" s="4" t="s">
        <v>12</v>
      </c>
      <c r="D261" s="4" t="s">
        <v>3</v>
      </c>
      <c r="E261" s="3">
        <v>6</v>
      </c>
      <c r="F261" s="12" t="s">
        <v>24</v>
      </c>
      <c r="G261" s="10">
        <v>1749</v>
      </c>
      <c r="H261" s="9">
        <v>47469303</v>
      </c>
      <c r="I261" s="11">
        <v>1836</v>
      </c>
      <c r="J261" s="9">
        <v>47535806</v>
      </c>
      <c r="K261" s="10">
        <v>1752</v>
      </c>
      <c r="L261" s="9">
        <v>47469303</v>
      </c>
    </row>
    <row r="262" spans="1:12" ht="16.5" customHeight="1">
      <c r="A262" s="1">
        <v>6445</v>
      </c>
      <c r="B262" s="196" t="s">
        <v>4</v>
      </c>
      <c r="C262" s="205" t="s">
        <v>146</v>
      </c>
      <c r="D262" s="8" t="s">
        <v>19</v>
      </c>
      <c r="E262" s="7">
        <v>4</v>
      </c>
      <c r="F262" s="15" t="s">
        <v>24</v>
      </c>
      <c r="G262" s="197">
        <f>$E262</f>
        <v>4</v>
      </c>
      <c r="H262" s="14">
        <v>47469310</v>
      </c>
      <c r="I262" s="197">
        <f>$E262</f>
        <v>4</v>
      </c>
      <c r="J262" s="204">
        <v>47776012</v>
      </c>
      <c r="K262" s="197">
        <f>$E262</f>
        <v>4</v>
      </c>
      <c r="L262" s="14">
        <v>47469310</v>
      </c>
    </row>
    <row r="263" spans="1:12" ht="16.5" customHeight="1">
      <c r="A263" s="1"/>
      <c r="B263" s="1" t="s">
        <v>11</v>
      </c>
      <c r="C263" s="206" t="s">
        <v>146</v>
      </c>
      <c r="D263" s="6" t="s">
        <v>19</v>
      </c>
      <c r="E263" s="5">
        <v>4</v>
      </c>
      <c r="F263" s="12" t="s">
        <v>24</v>
      </c>
      <c r="G263" s="13">
        <v>920</v>
      </c>
      <c r="H263" s="9">
        <v>47469310</v>
      </c>
      <c r="I263" s="9">
        <v>910</v>
      </c>
      <c r="J263" s="9">
        <v>47469310</v>
      </c>
      <c r="K263" s="13">
        <v>760</v>
      </c>
      <c r="L263" s="9">
        <v>47469310</v>
      </c>
    </row>
    <row r="264" spans="1:12" ht="16.5" customHeight="1">
      <c r="A264" s="1"/>
      <c r="B264" s="1" t="s">
        <v>10</v>
      </c>
      <c r="C264" s="206" t="s">
        <v>146</v>
      </c>
      <c r="D264" s="6" t="s">
        <v>19</v>
      </c>
      <c r="E264" s="5">
        <v>4</v>
      </c>
      <c r="F264" s="12" t="s">
        <v>24</v>
      </c>
      <c r="G264" s="13">
        <v>2850</v>
      </c>
      <c r="H264" s="9">
        <v>47469310</v>
      </c>
      <c r="I264" s="13">
        <v>2850</v>
      </c>
      <c r="J264" s="9">
        <v>47469310</v>
      </c>
      <c r="K264" s="13">
        <v>2850</v>
      </c>
      <c r="L264" s="9">
        <v>47469310</v>
      </c>
    </row>
    <row r="265" spans="1:12" ht="16.5" customHeight="1">
      <c r="A265" s="1"/>
      <c r="B265" s="1" t="s">
        <v>9</v>
      </c>
      <c r="C265" s="206" t="s">
        <v>146</v>
      </c>
      <c r="D265" s="6" t="s">
        <v>19</v>
      </c>
      <c r="E265" s="5">
        <v>4</v>
      </c>
      <c r="F265" s="12" t="s">
        <v>24</v>
      </c>
      <c r="G265" s="13">
        <v>1910</v>
      </c>
      <c r="H265" s="9">
        <v>47469310</v>
      </c>
      <c r="I265" s="13">
        <v>2288</v>
      </c>
      <c r="J265" s="9">
        <v>47469310</v>
      </c>
      <c r="K265" s="13">
        <v>1910</v>
      </c>
      <c r="L265" s="9">
        <v>47469310</v>
      </c>
    </row>
    <row r="266" spans="1:12" ht="16.5" customHeight="1">
      <c r="A266" s="1"/>
      <c r="B266" s="1" t="s">
        <v>8</v>
      </c>
      <c r="C266" s="206" t="s">
        <v>146</v>
      </c>
      <c r="D266" s="6" t="s">
        <v>19</v>
      </c>
      <c r="E266" s="5">
        <v>4</v>
      </c>
      <c r="F266" s="12" t="s">
        <v>24</v>
      </c>
      <c r="G266" s="13">
        <v>2436</v>
      </c>
      <c r="H266" s="9">
        <v>47469310</v>
      </c>
      <c r="I266" s="9">
        <v>2454</v>
      </c>
      <c r="J266" s="9">
        <v>47469310</v>
      </c>
      <c r="K266" s="13">
        <v>2830</v>
      </c>
      <c r="L266" s="9">
        <v>47469310</v>
      </c>
    </row>
    <row r="267" spans="1:12" ht="16.5" customHeight="1">
      <c r="A267" s="1"/>
      <c r="B267" s="23" t="s">
        <v>7</v>
      </c>
      <c r="C267" s="207" t="s">
        <v>146</v>
      </c>
      <c r="D267" s="4" t="s">
        <v>19</v>
      </c>
      <c r="E267" s="3">
        <v>4</v>
      </c>
      <c r="F267" s="12" t="s">
        <v>24</v>
      </c>
      <c r="G267" s="10">
        <v>1456</v>
      </c>
      <c r="H267" s="9">
        <v>47469310</v>
      </c>
      <c r="I267" s="11">
        <v>1396</v>
      </c>
      <c r="J267" s="9">
        <v>47469310</v>
      </c>
      <c r="K267" s="10">
        <v>1457</v>
      </c>
      <c r="L267" s="9">
        <v>47469310</v>
      </c>
    </row>
    <row r="268" spans="1:12" ht="16.5" customHeight="1">
      <c r="A268" s="1"/>
      <c r="B268" s="196" t="s">
        <v>4</v>
      </c>
      <c r="C268" s="205" t="s">
        <v>146</v>
      </c>
      <c r="D268" s="8" t="s">
        <v>3</v>
      </c>
      <c r="E268" s="7">
        <v>4</v>
      </c>
      <c r="F268" s="15" t="s">
        <v>24</v>
      </c>
      <c r="G268" s="197">
        <f>$E268</f>
        <v>4</v>
      </c>
      <c r="H268" s="14">
        <v>47469312</v>
      </c>
      <c r="I268" s="197">
        <f>$E268</f>
        <v>4</v>
      </c>
      <c r="J268" s="14">
        <v>47535812</v>
      </c>
      <c r="K268" s="197">
        <f>$E268</f>
        <v>4</v>
      </c>
      <c r="L268" s="14">
        <v>47469312</v>
      </c>
    </row>
    <row r="269" spans="1:12" ht="16.5" customHeight="1">
      <c r="A269" s="1"/>
      <c r="B269" s="1" t="s">
        <v>11</v>
      </c>
      <c r="C269" s="206" t="s">
        <v>146</v>
      </c>
      <c r="D269" s="6" t="s">
        <v>3</v>
      </c>
      <c r="E269" s="5">
        <v>4</v>
      </c>
      <c r="F269" s="12" t="s">
        <v>24</v>
      </c>
      <c r="G269" s="13">
        <v>1040</v>
      </c>
      <c r="H269" s="9">
        <v>47469312</v>
      </c>
      <c r="I269" s="9">
        <v>985</v>
      </c>
      <c r="J269" s="9">
        <v>47535812</v>
      </c>
      <c r="K269" s="13">
        <v>865</v>
      </c>
      <c r="L269" s="9">
        <v>47469312</v>
      </c>
    </row>
    <row r="270" spans="1:12" ht="16.5" customHeight="1">
      <c r="A270" s="1"/>
      <c r="B270" s="1" t="s">
        <v>10</v>
      </c>
      <c r="C270" s="206" t="s">
        <v>146</v>
      </c>
      <c r="D270" s="6" t="s">
        <v>3</v>
      </c>
      <c r="E270" s="5">
        <v>4</v>
      </c>
      <c r="F270" s="12" t="s">
        <v>24</v>
      </c>
      <c r="G270" s="13">
        <v>2850</v>
      </c>
      <c r="H270" s="9">
        <v>47469312</v>
      </c>
      <c r="I270" s="13">
        <v>2850</v>
      </c>
      <c r="J270" s="9">
        <v>47535812</v>
      </c>
      <c r="K270" s="13">
        <v>2850</v>
      </c>
      <c r="L270" s="9">
        <v>47469312</v>
      </c>
    </row>
    <row r="271" spans="1:12" ht="16.5" customHeight="1">
      <c r="A271" s="1"/>
      <c r="B271" s="1" t="s">
        <v>9</v>
      </c>
      <c r="C271" s="206" t="s">
        <v>146</v>
      </c>
      <c r="D271" s="6" t="s">
        <v>3</v>
      </c>
      <c r="E271" s="5">
        <v>4</v>
      </c>
      <c r="F271" s="12" t="s">
        <v>24</v>
      </c>
      <c r="G271" s="13">
        <v>1980</v>
      </c>
      <c r="H271" s="9">
        <v>47469312</v>
      </c>
      <c r="I271" s="13">
        <v>1980</v>
      </c>
      <c r="J271" s="9">
        <v>47535812</v>
      </c>
      <c r="K271" s="13">
        <v>1980</v>
      </c>
      <c r="L271" s="9">
        <v>47469312</v>
      </c>
    </row>
    <row r="272" spans="1:12" ht="16.5" customHeight="1">
      <c r="A272" s="1"/>
      <c r="B272" s="1" t="s">
        <v>8</v>
      </c>
      <c r="C272" s="206" t="s">
        <v>146</v>
      </c>
      <c r="D272" s="6" t="s">
        <v>3</v>
      </c>
      <c r="E272" s="5">
        <v>4</v>
      </c>
      <c r="F272" s="12" t="s">
        <v>24</v>
      </c>
      <c r="G272" s="13">
        <v>2559</v>
      </c>
      <c r="H272" s="9">
        <v>47469312</v>
      </c>
      <c r="I272" s="9">
        <v>2589</v>
      </c>
      <c r="J272" s="9">
        <v>47535812</v>
      </c>
      <c r="K272" s="13">
        <v>2953</v>
      </c>
      <c r="L272" s="9">
        <v>47469312</v>
      </c>
    </row>
    <row r="273" spans="1:12" ht="16.5" customHeight="1">
      <c r="A273" s="1"/>
      <c r="B273" s="23" t="s">
        <v>7</v>
      </c>
      <c r="C273" s="207" t="s">
        <v>146</v>
      </c>
      <c r="D273" s="4" t="s">
        <v>3</v>
      </c>
      <c r="E273" s="3">
        <v>4</v>
      </c>
      <c r="F273" s="12" t="s">
        <v>24</v>
      </c>
      <c r="G273" s="10">
        <v>1311</v>
      </c>
      <c r="H273" s="9">
        <v>47469312</v>
      </c>
      <c r="I273" s="11">
        <v>1262</v>
      </c>
      <c r="J273" s="9">
        <v>47535812</v>
      </c>
      <c r="K273" s="10">
        <v>1312</v>
      </c>
      <c r="L273" s="9">
        <v>47469312</v>
      </c>
    </row>
    <row r="274" spans="1:12" ht="16.5" customHeight="1">
      <c r="A274" s="1">
        <v>6630</v>
      </c>
      <c r="B274" s="196" t="s">
        <v>4</v>
      </c>
      <c r="C274" s="205" t="s">
        <v>146</v>
      </c>
      <c r="D274" s="8" t="s">
        <v>3</v>
      </c>
      <c r="E274" s="7">
        <v>4.5</v>
      </c>
      <c r="F274" s="15" t="s">
        <v>24</v>
      </c>
      <c r="G274" s="197">
        <f>$E274</f>
        <v>4.5</v>
      </c>
      <c r="H274" s="14">
        <v>47469313</v>
      </c>
      <c r="I274" s="197">
        <f>$E274</f>
        <v>4.5</v>
      </c>
      <c r="J274" s="14">
        <v>47535813</v>
      </c>
      <c r="K274" s="197">
        <f>$E274</f>
        <v>4.5</v>
      </c>
      <c r="L274" s="14">
        <v>47469313</v>
      </c>
    </row>
    <row r="275" spans="1:12" ht="16.5" customHeight="1">
      <c r="A275" s="1"/>
      <c r="B275" s="1" t="s">
        <v>11</v>
      </c>
      <c r="C275" s="206" t="s">
        <v>146</v>
      </c>
      <c r="D275" s="6" t="s">
        <v>3</v>
      </c>
      <c r="E275" s="5">
        <v>4.5</v>
      </c>
      <c r="F275" s="12" t="s">
        <v>24</v>
      </c>
      <c r="G275" s="13">
        <v>930</v>
      </c>
      <c r="H275" s="9">
        <v>47469313</v>
      </c>
      <c r="I275" s="9">
        <v>890</v>
      </c>
      <c r="J275" s="9">
        <v>47535813</v>
      </c>
      <c r="K275" s="13">
        <v>755</v>
      </c>
      <c r="L275" s="9">
        <v>47469313</v>
      </c>
    </row>
    <row r="276" spans="1:12" ht="16.5" customHeight="1">
      <c r="A276" s="1"/>
      <c r="B276" s="1" t="s">
        <v>10</v>
      </c>
      <c r="C276" s="206" t="s">
        <v>146</v>
      </c>
      <c r="D276" s="6" t="s">
        <v>3</v>
      </c>
      <c r="E276" s="5">
        <v>4.5</v>
      </c>
      <c r="F276" s="12" t="s">
        <v>24</v>
      </c>
      <c r="G276" s="13">
        <v>2850</v>
      </c>
      <c r="H276" s="9">
        <v>47469313</v>
      </c>
      <c r="I276" s="13">
        <v>2850</v>
      </c>
      <c r="J276" s="9">
        <v>47535813</v>
      </c>
      <c r="K276" s="13">
        <v>2850</v>
      </c>
      <c r="L276" s="9">
        <v>47469313</v>
      </c>
    </row>
    <row r="277" spans="1:12" ht="16.5" customHeight="1">
      <c r="A277" s="1"/>
      <c r="B277" s="1" t="s">
        <v>9</v>
      </c>
      <c r="C277" s="206" t="s">
        <v>146</v>
      </c>
      <c r="D277" s="6" t="s">
        <v>3</v>
      </c>
      <c r="E277" s="5">
        <v>4.5</v>
      </c>
      <c r="F277" s="12" t="s">
        <v>24</v>
      </c>
      <c r="G277" s="13">
        <v>2180</v>
      </c>
      <c r="H277" s="9">
        <v>47469313</v>
      </c>
      <c r="I277" s="13">
        <v>2180</v>
      </c>
      <c r="J277" s="9">
        <v>47535813</v>
      </c>
      <c r="K277" s="13">
        <v>2180</v>
      </c>
      <c r="L277" s="9">
        <v>47469313</v>
      </c>
    </row>
    <row r="278" spans="1:12" ht="16.5" customHeight="1">
      <c r="A278" s="1"/>
      <c r="B278" s="1" t="s">
        <v>8</v>
      </c>
      <c r="C278" s="206" t="s">
        <v>146</v>
      </c>
      <c r="D278" s="6" t="s">
        <v>3</v>
      </c>
      <c r="E278" s="5">
        <v>4.5</v>
      </c>
      <c r="F278" s="12" t="s">
        <v>24</v>
      </c>
      <c r="G278" s="13">
        <v>2486</v>
      </c>
      <c r="H278" s="9">
        <v>47469313</v>
      </c>
      <c r="I278" s="9">
        <v>2508</v>
      </c>
      <c r="J278" s="9">
        <v>47535813</v>
      </c>
      <c r="K278" s="13">
        <v>2880</v>
      </c>
      <c r="L278" s="9">
        <v>47469313</v>
      </c>
    </row>
    <row r="279" spans="1:12" ht="16.5" customHeight="1">
      <c r="A279" s="1"/>
      <c r="B279" s="23" t="s">
        <v>7</v>
      </c>
      <c r="C279" s="207" t="s">
        <v>146</v>
      </c>
      <c r="D279" s="4" t="s">
        <v>3</v>
      </c>
      <c r="E279" s="3">
        <v>4.5</v>
      </c>
      <c r="F279" s="12" t="s">
        <v>24</v>
      </c>
      <c r="G279" s="10">
        <v>1400</v>
      </c>
      <c r="H279" s="9">
        <v>47469313</v>
      </c>
      <c r="I279" s="11">
        <v>1345</v>
      </c>
      <c r="J279" s="9">
        <v>47535813</v>
      </c>
      <c r="K279" s="10">
        <v>1401</v>
      </c>
      <c r="L279" s="9">
        <v>47469313</v>
      </c>
    </row>
    <row r="280" spans="1:12" ht="16.5" customHeight="1">
      <c r="A280" s="1"/>
      <c r="B280" s="196" t="s">
        <v>4</v>
      </c>
      <c r="C280" s="205" t="s">
        <v>146</v>
      </c>
      <c r="D280" s="8" t="s">
        <v>3</v>
      </c>
      <c r="E280" s="7">
        <v>5</v>
      </c>
      <c r="F280" s="15" t="s">
        <v>24</v>
      </c>
      <c r="G280" s="197">
        <f>$E280</f>
        <v>5</v>
      </c>
      <c r="H280" s="14">
        <v>47469314</v>
      </c>
      <c r="I280" s="197">
        <f>$E280</f>
        <v>5</v>
      </c>
      <c r="J280" s="14">
        <v>47535814</v>
      </c>
      <c r="K280" s="197">
        <f>$E280</f>
        <v>5</v>
      </c>
      <c r="L280" s="14">
        <v>47469314</v>
      </c>
    </row>
    <row r="281" spans="1:12" ht="16.5" customHeight="1">
      <c r="A281" s="1"/>
      <c r="B281" s="1" t="s">
        <v>11</v>
      </c>
      <c r="C281" s="206" t="s">
        <v>146</v>
      </c>
      <c r="D281" s="6" t="s">
        <v>3</v>
      </c>
      <c r="E281" s="5">
        <v>5</v>
      </c>
      <c r="F281" s="12" t="s">
        <v>24</v>
      </c>
      <c r="G281" s="13">
        <v>800</v>
      </c>
      <c r="H281" s="9">
        <v>47469314</v>
      </c>
      <c r="I281" s="9">
        <v>780</v>
      </c>
      <c r="J281" s="9">
        <v>47535814</v>
      </c>
      <c r="K281" s="13">
        <v>640</v>
      </c>
      <c r="L281" s="9">
        <v>47469314</v>
      </c>
    </row>
    <row r="282" spans="1:12" ht="16.5" customHeight="1">
      <c r="A282" s="1"/>
      <c r="B282" s="1" t="s">
        <v>10</v>
      </c>
      <c r="C282" s="206" t="s">
        <v>146</v>
      </c>
      <c r="D282" s="6" t="s">
        <v>3</v>
      </c>
      <c r="E282" s="5">
        <v>5</v>
      </c>
      <c r="F282" s="12" t="s">
        <v>24</v>
      </c>
      <c r="G282" s="13">
        <v>3000</v>
      </c>
      <c r="H282" s="9">
        <v>47469314</v>
      </c>
      <c r="I282" s="13">
        <v>3000</v>
      </c>
      <c r="J282" s="9">
        <v>47535814</v>
      </c>
      <c r="K282" s="13">
        <v>3000</v>
      </c>
      <c r="L282" s="9">
        <v>47469314</v>
      </c>
    </row>
    <row r="283" spans="1:12" ht="16.5" customHeight="1">
      <c r="A283" s="1"/>
      <c r="B283" s="1" t="s">
        <v>9</v>
      </c>
      <c r="C283" s="206" t="s">
        <v>146</v>
      </c>
      <c r="D283" s="6" t="s">
        <v>3</v>
      </c>
      <c r="E283" s="5">
        <v>5</v>
      </c>
      <c r="F283" s="12" t="s">
        <v>24</v>
      </c>
      <c r="G283" s="13">
        <v>2380</v>
      </c>
      <c r="H283" s="9">
        <v>47469314</v>
      </c>
      <c r="I283" s="13">
        <v>2380</v>
      </c>
      <c r="J283" s="9">
        <v>47535814</v>
      </c>
      <c r="K283" s="13">
        <v>2380</v>
      </c>
      <c r="L283" s="9">
        <v>47469314</v>
      </c>
    </row>
    <row r="284" spans="1:12" ht="16.5" customHeight="1">
      <c r="A284" s="1"/>
      <c r="B284" s="1" t="s">
        <v>8</v>
      </c>
      <c r="C284" s="206" t="s">
        <v>146</v>
      </c>
      <c r="D284" s="6" t="s">
        <v>3</v>
      </c>
      <c r="E284" s="5">
        <v>5</v>
      </c>
      <c r="F284" s="12" t="s">
        <v>24</v>
      </c>
      <c r="G284" s="13">
        <v>2485</v>
      </c>
      <c r="H284" s="9">
        <v>47469314</v>
      </c>
      <c r="I284" s="9">
        <v>2580</v>
      </c>
      <c r="J284" s="9">
        <v>47535814</v>
      </c>
      <c r="K284" s="13">
        <v>2880</v>
      </c>
      <c r="L284" s="9">
        <v>47469314</v>
      </c>
    </row>
    <row r="285" spans="1:12" ht="16.5" customHeight="1">
      <c r="A285" s="1"/>
      <c r="B285" s="23" t="s">
        <v>7</v>
      </c>
      <c r="C285" s="207" t="s">
        <v>146</v>
      </c>
      <c r="D285" s="4" t="s">
        <v>3</v>
      </c>
      <c r="E285" s="3">
        <v>5</v>
      </c>
      <c r="F285" s="12" t="s">
        <v>24</v>
      </c>
      <c r="G285" s="10">
        <v>1400</v>
      </c>
      <c r="H285" s="9">
        <v>47469314</v>
      </c>
      <c r="I285" s="11">
        <v>1345</v>
      </c>
      <c r="J285" s="9">
        <v>47535814</v>
      </c>
      <c r="K285" s="10">
        <v>1401</v>
      </c>
      <c r="L285" s="9">
        <v>47469314</v>
      </c>
    </row>
    <row r="286" spans="1:12" ht="16.5" customHeight="1">
      <c r="A286" s="1"/>
      <c r="B286" s="1" t="s">
        <v>4</v>
      </c>
      <c r="C286" s="205" t="s">
        <v>147</v>
      </c>
      <c r="D286" s="8" t="s">
        <v>19</v>
      </c>
      <c r="E286" s="200" t="s">
        <v>25</v>
      </c>
      <c r="F286" s="2" t="s">
        <v>24</v>
      </c>
      <c r="G286" s="197" t="str">
        <f t="shared" ref="G286:G292" si="3">$E286</f>
        <v>0,8mc</v>
      </c>
      <c r="H286" s="198">
        <v>47469304</v>
      </c>
      <c r="I286" s="197" t="str">
        <f t="shared" ref="I286:I291" si="4">$E286</f>
        <v>0,8mc</v>
      </c>
      <c r="J286" s="209">
        <v>47776009</v>
      </c>
      <c r="K286" s="197" t="str">
        <f t="shared" ref="K286:K291" si="5">$E286</f>
        <v>0,8mc</v>
      </c>
      <c r="L286" s="198">
        <v>47469304</v>
      </c>
    </row>
    <row r="287" spans="1:12" ht="16.5" customHeight="1">
      <c r="A287" s="1"/>
      <c r="B287" s="1" t="s">
        <v>4</v>
      </c>
      <c r="C287" s="205" t="s">
        <v>147</v>
      </c>
      <c r="D287" s="8" t="s">
        <v>19</v>
      </c>
      <c r="E287" s="200" t="s">
        <v>23</v>
      </c>
      <c r="F287" s="2" t="s">
        <v>24</v>
      </c>
      <c r="G287" s="197" t="str">
        <f t="shared" si="3"/>
        <v>1,1mc</v>
      </c>
      <c r="H287" s="198">
        <v>47469305</v>
      </c>
      <c r="I287" s="197" t="str">
        <f t="shared" si="4"/>
        <v>1,1mc</v>
      </c>
      <c r="J287" s="209">
        <v>47776010</v>
      </c>
      <c r="K287" s="197" t="str">
        <f t="shared" si="5"/>
        <v>1,1mc</v>
      </c>
      <c r="L287" s="198">
        <v>47469305</v>
      </c>
    </row>
    <row r="288" spans="1:12" ht="16.5" customHeight="1">
      <c r="A288" s="1"/>
      <c r="B288" s="1" t="s">
        <v>4</v>
      </c>
      <c r="C288" s="205" t="s">
        <v>147</v>
      </c>
      <c r="D288" s="25" t="s">
        <v>19</v>
      </c>
      <c r="E288" s="201" t="s">
        <v>20</v>
      </c>
      <c r="F288" s="2" t="s">
        <v>24</v>
      </c>
      <c r="G288" s="197" t="str">
        <f t="shared" si="3"/>
        <v>1,3mc</v>
      </c>
      <c r="H288" s="198">
        <v>47469306</v>
      </c>
      <c r="I288" s="197" t="str">
        <f t="shared" si="4"/>
        <v>1,3mc</v>
      </c>
      <c r="J288" s="209">
        <v>47776011</v>
      </c>
      <c r="K288" s="197" t="str">
        <f t="shared" si="5"/>
        <v>1,3mc</v>
      </c>
      <c r="L288" s="198">
        <v>47469306</v>
      </c>
    </row>
    <row r="289" spans="1:12" ht="16.5" customHeight="1">
      <c r="A289" s="1"/>
      <c r="B289" s="1" t="s">
        <v>4</v>
      </c>
      <c r="C289" s="205" t="s">
        <v>147</v>
      </c>
      <c r="D289" s="8" t="s">
        <v>3</v>
      </c>
      <c r="E289" s="200" t="s">
        <v>25</v>
      </c>
      <c r="F289" s="2" t="s">
        <v>24</v>
      </c>
      <c r="G289" s="197" t="str">
        <f t="shared" si="3"/>
        <v>0,8mc</v>
      </c>
      <c r="H289" s="198">
        <v>47469307</v>
      </c>
      <c r="I289" s="197" t="str">
        <f t="shared" si="4"/>
        <v>0,8mc</v>
      </c>
      <c r="J289" s="198">
        <v>47469307</v>
      </c>
      <c r="K289" s="197" t="str">
        <f t="shared" si="5"/>
        <v>0,8mc</v>
      </c>
      <c r="L289" s="198">
        <v>47469307</v>
      </c>
    </row>
    <row r="290" spans="1:12" ht="16.5" customHeight="1">
      <c r="A290" s="1"/>
      <c r="B290" s="1" t="s">
        <v>4</v>
      </c>
      <c r="C290" s="205" t="s">
        <v>147</v>
      </c>
      <c r="D290" s="8" t="s">
        <v>3</v>
      </c>
      <c r="E290" s="200" t="s">
        <v>22</v>
      </c>
      <c r="F290" s="2" t="s">
        <v>24</v>
      </c>
      <c r="G290" s="197" t="str">
        <f t="shared" si="3"/>
        <v>1,1 mc</v>
      </c>
      <c r="H290" s="198">
        <v>47469308</v>
      </c>
      <c r="I290" s="197" t="str">
        <f t="shared" si="4"/>
        <v>1,1 mc</v>
      </c>
      <c r="J290" s="198">
        <v>47469308</v>
      </c>
      <c r="K290" s="197" t="str">
        <f t="shared" si="5"/>
        <v>1,1 mc</v>
      </c>
      <c r="L290" s="198">
        <v>47469308</v>
      </c>
    </row>
    <row r="291" spans="1:12" ht="16.5" customHeight="1">
      <c r="A291" s="1"/>
      <c r="B291" s="1" t="s">
        <v>4</v>
      </c>
      <c r="C291" s="205" t="s">
        <v>147</v>
      </c>
      <c r="D291" s="8" t="s">
        <v>3</v>
      </c>
      <c r="E291" s="200" t="s">
        <v>17</v>
      </c>
      <c r="F291" s="2" t="s">
        <v>24</v>
      </c>
      <c r="G291" s="197" t="str">
        <f t="shared" si="3"/>
        <v>1,3 mc</v>
      </c>
      <c r="H291" s="198">
        <v>47469309</v>
      </c>
      <c r="I291" s="197" t="str">
        <f t="shared" si="4"/>
        <v>1,3 mc</v>
      </c>
      <c r="J291" s="198">
        <v>47469309</v>
      </c>
      <c r="K291" s="197" t="str">
        <f t="shared" si="5"/>
        <v>1,3 mc</v>
      </c>
      <c r="L291" s="198">
        <v>47469309</v>
      </c>
    </row>
    <row r="292" spans="1:12" ht="16.5" customHeight="1">
      <c r="A292" s="1"/>
      <c r="B292" s="196" t="s">
        <v>4</v>
      </c>
      <c r="C292" s="8" t="s">
        <v>13</v>
      </c>
      <c r="D292" s="8" t="s">
        <v>19</v>
      </c>
      <c r="E292" s="7">
        <v>4.5</v>
      </c>
      <c r="F292" s="15" t="s">
        <v>21</v>
      </c>
      <c r="G292" s="197">
        <f t="shared" si="3"/>
        <v>4.5</v>
      </c>
      <c r="H292" s="14">
        <v>47471835</v>
      </c>
      <c r="I292" s="14" t="s">
        <v>0</v>
      </c>
      <c r="J292" s="14" t="s">
        <v>0</v>
      </c>
      <c r="K292" s="197">
        <f>$E292</f>
        <v>4.5</v>
      </c>
      <c r="L292" s="14">
        <v>47471835</v>
      </c>
    </row>
    <row r="293" spans="1:12" ht="16.5" customHeight="1">
      <c r="A293" s="1"/>
      <c r="B293" s="1" t="s">
        <v>11</v>
      </c>
      <c r="C293" s="6" t="s">
        <v>13</v>
      </c>
      <c r="D293" s="6" t="s">
        <v>19</v>
      </c>
      <c r="E293" s="5">
        <v>4.5</v>
      </c>
      <c r="F293" s="12" t="s">
        <v>21</v>
      </c>
      <c r="G293" s="13">
        <v>1180</v>
      </c>
      <c r="H293" s="9">
        <v>47471835</v>
      </c>
      <c r="I293" s="9" t="s">
        <v>0</v>
      </c>
      <c r="J293" s="9" t="s">
        <v>0</v>
      </c>
      <c r="K293" s="13">
        <v>930</v>
      </c>
      <c r="L293" s="9">
        <v>47471835</v>
      </c>
    </row>
    <row r="294" spans="1:12" ht="16.5" customHeight="1">
      <c r="A294" s="1"/>
      <c r="B294" s="1" t="s">
        <v>10</v>
      </c>
      <c r="C294" s="6" t="s">
        <v>13</v>
      </c>
      <c r="D294" s="6" t="s">
        <v>19</v>
      </c>
      <c r="E294" s="5">
        <v>4.5</v>
      </c>
      <c r="F294" s="12" t="s">
        <v>21</v>
      </c>
      <c r="G294" s="13">
        <v>2750</v>
      </c>
      <c r="H294" s="9">
        <v>47471835</v>
      </c>
      <c r="I294" s="13" t="s">
        <v>0</v>
      </c>
      <c r="J294" s="9" t="s">
        <v>0</v>
      </c>
      <c r="K294" s="13">
        <v>2750</v>
      </c>
      <c r="L294" s="9">
        <v>47471835</v>
      </c>
    </row>
    <row r="295" spans="1:12" ht="16.5" customHeight="1">
      <c r="A295" s="1"/>
      <c r="B295" s="1" t="s">
        <v>9</v>
      </c>
      <c r="C295" s="6" t="s">
        <v>13</v>
      </c>
      <c r="D295" s="6" t="s">
        <v>19</v>
      </c>
      <c r="E295" s="5">
        <v>4.5</v>
      </c>
      <c r="F295" s="12" t="s">
        <v>21</v>
      </c>
      <c r="G295" s="13">
        <v>2015</v>
      </c>
      <c r="H295" s="9">
        <v>47471835</v>
      </c>
      <c r="I295" s="13" t="s">
        <v>0</v>
      </c>
      <c r="J295" s="9" t="s">
        <v>0</v>
      </c>
      <c r="K295" s="13">
        <v>2015</v>
      </c>
      <c r="L295" s="9">
        <v>47471835</v>
      </c>
    </row>
    <row r="296" spans="1:12" ht="16.5" customHeight="1">
      <c r="A296" s="1"/>
      <c r="B296" s="1" t="s">
        <v>8</v>
      </c>
      <c r="C296" s="6" t="s">
        <v>13</v>
      </c>
      <c r="D296" s="6" t="s">
        <v>19</v>
      </c>
      <c r="E296" s="5">
        <v>4.5</v>
      </c>
      <c r="F296" s="12" t="s">
        <v>21</v>
      </c>
      <c r="G296" s="13">
        <v>2586</v>
      </c>
      <c r="H296" s="9">
        <v>47471835</v>
      </c>
      <c r="I296" s="9" t="s">
        <v>0</v>
      </c>
      <c r="J296" s="9" t="s">
        <v>0</v>
      </c>
      <c r="K296" s="13">
        <v>3047</v>
      </c>
      <c r="L296" s="9">
        <v>47471835</v>
      </c>
    </row>
    <row r="297" spans="1:12" ht="16.5" customHeight="1">
      <c r="A297" s="1"/>
      <c r="B297" s="23" t="s">
        <v>7</v>
      </c>
      <c r="C297" s="4" t="s">
        <v>13</v>
      </c>
      <c r="D297" s="4" t="s">
        <v>19</v>
      </c>
      <c r="E297" s="3">
        <v>4.5</v>
      </c>
      <c r="F297" s="12" t="s">
        <v>21</v>
      </c>
      <c r="G297" s="10">
        <v>1402</v>
      </c>
      <c r="H297" s="9">
        <v>47471835</v>
      </c>
      <c r="I297" s="11" t="s">
        <v>0</v>
      </c>
      <c r="J297" s="9" t="s">
        <v>0</v>
      </c>
      <c r="K297" s="10">
        <v>1540</v>
      </c>
      <c r="L297" s="9">
        <v>47471835</v>
      </c>
    </row>
    <row r="298" spans="1:12" ht="16.5" customHeight="1">
      <c r="A298" s="1"/>
      <c r="B298" s="196" t="s">
        <v>4</v>
      </c>
      <c r="C298" s="8" t="s">
        <v>13</v>
      </c>
      <c r="D298" s="8" t="s">
        <v>19</v>
      </c>
      <c r="E298" s="7">
        <v>5</v>
      </c>
      <c r="F298" s="15" t="s">
        <v>21</v>
      </c>
      <c r="G298" s="197">
        <f>$E298</f>
        <v>5</v>
      </c>
      <c r="H298" s="14">
        <v>47471836</v>
      </c>
      <c r="I298" s="14" t="s">
        <v>0</v>
      </c>
      <c r="J298" s="14" t="s">
        <v>0</v>
      </c>
      <c r="K298" s="197">
        <f>$E298</f>
        <v>5</v>
      </c>
      <c r="L298" s="14">
        <v>47471836</v>
      </c>
    </row>
    <row r="299" spans="1:12" ht="16.5" customHeight="1">
      <c r="A299" s="1"/>
      <c r="B299" s="1" t="s">
        <v>11</v>
      </c>
      <c r="C299" s="6" t="s">
        <v>13</v>
      </c>
      <c r="D299" s="6" t="s">
        <v>19</v>
      </c>
      <c r="E299" s="5">
        <v>5</v>
      </c>
      <c r="F299" s="12" t="s">
        <v>21</v>
      </c>
      <c r="G299" s="13">
        <v>1060</v>
      </c>
      <c r="H299" s="9">
        <v>47471836</v>
      </c>
      <c r="I299" s="9" t="s">
        <v>0</v>
      </c>
      <c r="J299" s="9" t="s">
        <v>0</v>
      </c>
      <c r="K299" s="13">
        <v>830</v>
      </c>
      <c r="L299" s="9">
        <v>47471836</v>
      </c>
    </row>
    <row r="300" spans="1:12" ht="16.5" customHeight="1">
      <c r="A300" s="1"/>
      <c r="B300" s="1" t="s">
        <v>10</v>
      </c>
      <c r="C300" s="6" t="s">
        <v>13</v>
      </c>
      <c r="D300" s="6" t="s">
        <v>19</v>
      </c>
      <c r="E300" s="5">
        <v>5</v>
      </c>
      <c r="F300" s="12" t="s">
        <v>21</v>
      </c>
      <c r="G300" s="13">
        <v>3000</v>
      </c>
      <c r="H300" s="9">
        <v>47471836</v>
      </c>
      <c r="I300" s="13" t="s">
        <v>0</v>
      </c>
      <c r="J300" s="9" t="s">
        <v>0</v>
      </c>
      <c r="K300" s="13">
        <v>3000</v>
      </c>
      <c r="L300" s="9">
        <v>47471836</v>
      </c>
    </row>
    <row r="301" spans="1:12" ht="16.5" customHeight="1">
      <c r="A301" s="1"/>
      <c r="B301" s="1" t="s">
        <v>9</v>
      </c>
      <c r="C301" s="6" t="s">
        <v>13</v>
      </c>
      <c r="D301" s="6" t="s">
        <v>19</v>
      </c>
      <c r="E301" s="5">
        <v>5</v>
      </c>
      <c r="F301" s="12" t="s">
        <v>21</v>
      </c>
      <c r="G301" s="13">
        <v>2085</v>
      </c>
      <c r="H301" s="9">
        <v>47471836</v>
      </c>
      <c r="I301" s="13" t="s">
        <v>0</v>
      </c>
      <c r="J301" s="9" t="s">
        <v>0</v>
      </c>
      <c r="K301" s="13">
        <v>2085</v>
      </c>
      <c r="L301" s="9">
        <v>47471836</v>
      </c>
    </row>
    <row r="302" spans="1:12" ht="16.5" customHeight="1">
      <c r="A302" s="1"/>
      <c r="B302" s="1" t="s">
        <v>8</v>
      </c>
      <c r="C302" s="6" t="s">
        <v>13</v>
      </c>
      <c r="D302" s="6" t="s">
        <v>19</v>
      </c>
      <c r="E302" s="5">
        <v>5</v>
      </c>
      <c r="F302" s="12" t="s">
        <v>21</v>
      </c>
      <c r="G302" s="13">
        <v>2586</v>
      </c>
      <c r="H302" s="9">
        <v>47471836</v>
      </c>
      <c r="I302" s="9" t="s">
        <v>0</v>
      </c>
      <c r="J302" s="9" t="s">
        <v>0</v>
      </c>
      <c r="K302" s="13">
        <v>3047</v>
      </c>
      <c r="L302" s="9">
        <v>47471836</v>
      </c>
    </row>
    <row r="303" spans="1:12" ht="16.5" customHeight="1">
      <c r="A303" s="1"/>
      <c r="B303" s="23" t="s">
        <v>7</v>
      </c>
      <c r="C303" s="4" t="s">
        <v>13</v>
      </c>
      <c r="D303" s="4" t="s">
        <v>19</v>
      </c>
      <c r="E303" s="3">
        <v>5</v>
      </c>
      <c r="F303" s="12" t="s">
        <v>21</v>
      </c>
      <c r="G303" s="10">
        <v>1402</v>
      </c>
      <c r="H303" s="9">
        <v>47471836</v>
      </c>
      <c r="I303" s="11" t="s">
        <v>0</v>
      </c>
      <c r="J303" s="9" t="s">
        <v>0</v>
      </c>
      <c r="K303" s="10">
        <v>1540</v>
      </c>
      <c r="L303" s="9">
        <v>47471836</v>
      </c>
    </row>
    <row r="304" spans="1:12" ht="16.5" customHeight="1">
      <c r="A304" s="1"/>
      <c r="B304" s="196" t="s">
        <v>4</v>
      </c>
      <c r="C304" s="8" t="s">
        <v>13</v>
      </c>
      <c r="D304" s="8" t="s">
        <v>19</v>
      </c>
      <c r="E304" s="7">
        <v>6</v>
      </c>
      <c r="F304" s="15" t="s">
        <v>21</v>
      </c>
      <c r="G304" s="197">
        <f>$E304</f>
        <v>6</v>
      </c>
      <c r="H304" s="14">
        <v>47471837</v>
      </c>
      <c r="I304" s="14" t="s">
        <v>0</v>
      </c>
      <c r="J304" s="14" t="s">
        <v>0</v>
      </c>
      <c r="K304" s="197">
        <f>$E304</f>
        <v>6</v>
      </c>
      <c r="L304" s="14">
        <v>47471837</v>
      </c>
    </row>
    <row r="305" spans="1:12" ht="16.5" customHeight="1">
      <c r="A305" s="1"/>
      <c r="B305" s="1" t="s">
        <v>11</v>
      </c>
      <c r="C305" s="6" t="s">
        <v>13</v>
      </c>
      <c r="D305" s="6" t="s">
        <v>19</v>
      </c>
      <c r="E305" s="5">
        <v>6</v>
      </c>
      <c r="F305" s="12" t="s">
        <v>21</v>
      </c>
      <c r="G305" s="13">
        <v>780</v>
      </c>
      <c r="H305" s="9">
        <v>47471837</v>
      </c>
      <c r="I305" s="9" t="s">
        <v>0</v>
      </c>
      <c r="J305" s="9" t="s">
        <v>0</v>
      </c>
      <c r="K305" s="13">
        <v>590</v>
      </c>
      <c r="L305" s="9">
        <v>47471837</v>
      </c>
    </row>
    <row r="306" spans="1:12" ht="16.5" customHeight="1">
      <c r="A306" s="1"/>
      <c r="B306" s="1" t="s">
        <v>10</v>
      </c>
      <c r="C306" s="6" t="s">
        <v>13</v>
      </c>
      <c r="D306" s="6" t="s">
        <v>19</v>
      </c>
      <c r="E306" s="5">
        <v>6</v>
      </c>
      <c r="F306" s="12" t="s">
        <v>21</v>
      </c>
      <c r="G306" s="13">
        <v>3200</v>
      </c>
      <c r="H306" s="9">
        <v>47471837</v>
      </c>
      <c r="I306" s="13" t="s">
        <v>0</v>
      </c>
      <c r="J306" s="9" t="s">
        <v>0</v>
      </c>
      <c r="K306" s="13">
        <v>3200</v>
      </c>
      <c r="L306" s="9">
        <v>47471837</v>
      </c>
    </row>
    <row r="307" spans="1:12" ht="16.5" customHeight="1">
      <c r="A307" s="1"/>
      <c r="B307" s="1" t="s">
        <v>9</v>
      </c>
      <c r="C307" s="6" t="s">
        <v>13</v>
      </c>
      <c r="D307" s="6" t="s">
        <v>19</v>
      </c>
      <c r="E307" s="5">
        <v>6</v>
      </c>
      <c r="F307" s="12" t="s">
        <v>21</v>
      </c>
      <c r="G307" s="13">
        <v>2740</v>
      </c>
      <c r="H307" s="9">
        <v>47471837</v>
      </c>
      <c r="I307" s="13" t="s">
        <v>0</v>
      </c>
      <c r="J307" s="9" t="s">
        <v>0</v>
      </c>
      <c r="K307" s="13">
        <v>2740</v>
      </c>
      <c r="L307" s="9">
        <v>47471837</v>
      </c>
    </row>
    <row r="308" spans="1:12" ht="16.5" customHeight="1">
      <c r="A308" s="1"/>
      <c r="B308" s="1" t="s">
        <v>8</v>
      </c>
      <c r="C308" s="6" t="s">
        <v>13</v>
      </c>
      <c r="D308" s="6" t="s">
        <v>19</v>
      </c>
      <c r="E308" s="5">
        <v>6</v>
      </c>
      <c r="F308" s="12" t="s">
        <v>21</v>
      </c>
      <c r="G308" s="13">
        <v>2390</v>
      </c>
      <c r="H308" s="9">
        <v>47471837</v>
      </c>
      <c r="I308" s="9" t="s">
        <v>0</v>
      </c>
      <c r="J308" s="9" t="s">
        <v>0</v>
      </c>
      <c r="K308" s="13">
        <v>2850</v>
      </c>
      <c r="L308" s="9">
        <v>47471837</v>
      </c>
    </row>
    <row r="309" spans="1:12" ht="16.5" customHeight="1">
      <c r="A309" s="1"/>
      <c r="B309" s="23" t="s">
        <v>7</v>
      </c>
      <c r="C309" s="4" t="s">
        <v>13</v>
      </c>
      <c r="D309" s="4" t="s">
        <v>19</v>
      </c>
      <c r="E309" s="3">
        <v>6</v>
      </c>
      <c r="F309" s="12" t="s">
        <v>21</v>
      </c>
      <c r="G309" s="10">
        <v>1303</v>
      </c>
      <c r="H309" s="9">
        <v>47471837</v>
      </c>
      <c r="I309" s="11" t="s">
        <v>0</v>
      </c>
      <c r="J309" s="9" t="s">
        <v>0</v>
      </c>
      <c r="K309" s="10">
        <v>1444</v>
      </c>
      <c r="L309" s="9">
        <v>47471837</v>
      </c>
    </row>
    <row r="310" spans="1:12" ht="16.5" customHeight="1">
      <c r="A310" s="1"/>
      <c r="B310" s="196" t="s">
        <v>4</v>
      </c>
      <c r="C310" s="8" t="s">
        <v>13</v>
      </c>
      <c r="D310" s="8" t="s">
        <v>19</v>
      </c>
      <c r="E310" s="7">
        <v>7.5</v>
      </c>
      <c r="F310" s="15" t="s">
        <v>21</v>
      </c>
      <c r="G310" s="197">
        <f>$E310</f>
        <v>7.5</v>
      </c>
      <c r="H310" s="14">
        <v>47471838</v>
      </c>
      <c r="I310" s="14" t="s">
        <v>0</v>
      </c>
      <c r="J310" s="14" t="s">
        <v>0</v>
      </c>
      <c r="K310" s="197">
        <f>$E310</f>
        <v>7.5</v>
      </c>
      <c r="L310" s="14">
        <v>47471838</v>
      </c>
    </row>
    <row r="311" spans="1:12" ht="16.5" customHeight="1">
      <c r="A311" s="1"/>
      <c r="B311" s="1" t="s">
        <v>11</v>
      </c>
      <c r="C311" s="6" t="s">
        <v>13</v>
      </c>
      <c r="D311" s="6" t="s">
        <v>19</v>
      </c>
      <c r="E311" s="5">
        <v>7.5</v>
      </c>
      <c r="F311" s="12" t="s">
        <v>21</v>
      </c>
      <c r="G311" s="13">
        <v>590</v>
      </c>
      <c r="H311" s="9">
        <v>47471838</v>
      </c>
      <c r="I311" s="9" t="s">
        <v>0</v>
      </c>
      <c r="J311" s="9" t="s">
        <v>0</v>
      </c>
      <c r="K311" s="13">
        <v>440</v>
      </c>
      <c r="L311" s="9">
        <v>47471838</v>
      </c>
    </row>
    <row r="312" spans="1:12" ht="16.5" customHeight="1">
      <c r="A312" s="1"/>
      <c r="B312" s="1" t="s">
        <v>10</v>
      </c>
      <c r="C312" s="6" t="s">
        <v>13</v>
      </c>
      <c r="D312" s="6" t="s">
        <v>19</v>
      </c>
      <c r="E312" s="5">
        <v>7.5</v>
      </c>
      <c r="F312" s="12" t="s">
        <v>21</v>
      </c>
      <c r="G312" s="13">
        <v>3200</v>
      </c>
      <c r="H312" s="9">
        <v>47471838</v>
      </c>
      <c r="I312" s="13" t="s">
        <v>0</v>
      </c>
      <c r="J312" s="9" t="s">
        <v>0</v>
      </c>
      <c r="K312" s="13">
        <v>3200</v>
      </c>
      <c r="L312" s="9">
        <v>47471838</v>
      </c>
    </row>
    <row r="313" spans="1:12" ht="16.5" customHeight="1">
      <c r="A313" s="1"/>
      <c r="B313" s="1" t="s">
        <v>9</v>
      </c>
      <c r="C313" s="6" t="s">
        <v>13</v>
      </c>
      <c r="D313" s="6" t="s">
        <v>19</v>
      </c>
      <c r="E313" s="5">
        <v>7.5</v>
      </c>
      <c r="F313" s="12" t="s">
        <v>21</v>
      </c>
      <c r="G313" s="13">
        <v>3110</v>
      </c>
      <c r="H313" s="9">
        <v>47471838</v>
      </c>
      <c r="I313" s="13" t="s">
        <v>0</v>
      </c>
      <c r="J313" s="9" t="s">
        <v>0</v>
      </c>
      <c r="K313" s="13">
        <v>3110</v>
      </c>
      <c r="L313" s="9">
        <v>47471838</v>
      </c>
    </row>
    <row r="314" spans="1:12" ht="16.5" customHeight="1">
      <c r="A314" s="1"/>
      <c r="B314" s="1" t="s">
        <v>8</v>
      </c>
      <c r="C314" s="6" t="s">
        <v>13</v>
      </c>
      <c r="D314" s="6" t="s">
        <v>19</v>
      </c>
      <c r="E314" s="5">
        <v>7.5</v>
      </c>
      <c r="F314" s="12" t="s">
        <v>21</v>
      </c>
      <c r="G314" s="13">
        <v>2327</v>
      </c>
      <c r="H314" s="9">
        <v>47471838</v>
      </c>
      <c r="I314" s="9" t="s">
        <v>0</v>
      </c>
      <c r="J314" s="9" t="s">
        <v>0</v>
      </c>
      <c r="K314" s="13">
        <v>2790</v>
      </c>
      <c r="L314" s="9">
        <v>47471838</v>
      </c>
    </row>
    <row r="315" spans="1:12" ht="16.5" customHeight="1">
      <c r="A315" s="1"/>
      <c r="B315" s="23" t="s">
        <v>7</v>
      </c>
      <c r="C315" s="4" t="s">
        <v>13</v>
      </c>
      <c r="D315" s="4" t="s">
        <v>19</v>
      </c>
      <c r="E315" s="3">
        <v>7.5</v>
      </c>
      <c r="F315" s="12" t="s">
        <v>21</v>
      </c>
      <c r="G315" s="10">
        <v>1471</v>
      </c>
      <c r="H315" s="9">
        <v>47471838</v>
      </c>
      <c r="I315" s="11" t="s">
        <v>0</v>
      </c>
      <c r="J315" s="9" t="s">
        <v>0</v>
      </c>
      <c r="K315" s="10">
        <v>1614</v>
      </c>
      <c r="L315" s="9">
        <v>47471838</v>
      </c>
    </row>
    <row r="316" spans="1:12" ht="16.5" customHeight="1">
      <c r="A316" s="1"/>
      <c r="B316" s="196" t="s">
        <v>4</v>
      </c>
      <c r="C316" s="8" t="s">
        <v>13</v>
      </c>
      <c r="D316" s="8" t="s">
        <v>3</v>
      </c>
      <c r="E316" s="7">
        <v>4.5</v>
      </c>
      <c r="F316" s="15" t="s">
        <v>21</v>
      </c>
      <c r="G316" s="197">
        <f>$E316</f>
        <v>4.5</v>
      </c>
      <c r="H316" s="14">
        <v>47471839</v>
      </c>
      <c r="I316" s="14" t="s">
        <v>0</v>
      </c>
      <c r="J316" s="14" t="s">
        <v>0</v>
      </c>
      <c r="K316" s="197">
        <f>$E316</f>
        <v>4.5</v>
      </c>
      <c r="L316" s="14">
        <v>47471839</v>
      </c>
    </row>
    <row r="317" spans="1:12" ht="16.5" customHeight="1">
      <c r="A317" s="1"/>
      <c r="B317" s="1" t="s">
        <v>11</v>
      </c>
      <c r="C317" s="6" t="s">
        <v>13</v>
      </c>
      <c r="D317" s="6" t="s">
        <v>3</v>
      </c>
      <c r="E317" s="5">
        <v>4.5</v>
      </c>
      <c r="F317" s="12" t="s">
        <v>21</v>
      </c>
      <c r="G317" s="13">
        <v>1270</v>
      </c>
      <c r="H317" s="9">
        <v>47471839</v>
      </c>
      <c r="I317" s="9" t="s">
        <v>0</v>
      </c>
      <c r="J317" s="9" t="s">
        <v>0</v>
      </c>
      <c r="K317" s="13">
        <v>1010</v>
      </c>
      <c r="L317" s="9">
        <v>47471839</v>
      </c>
    </row>
    <row r="318" spans="1:12" ht="16.5" customHeight="1">
      <c r="A318" s="1"/>
      <c r="B318" s="1" t="s">
        <v>10</v>
      </c>
      <c r="C318" s="6" t="s">
        <v>13</v>
      </c>
      <c r="D318" s="6" t="s">
        <v>3</v>
      </c>
      <c r="E318" s="5">
        <v>4.5</v>
      </c>
      <c r="F318" s="12" t="s">
        <v>21</v>
      </c>
      <c r="G318" s="13">
        <v>2750</v>
      </c>
      <c r="H318" s="9">
        <v>47471839</v>
      </c>
      <c r="I318" s="13" t="s">
        <v>0</v>
      </c>
      <c r="J318" s="9" t="s">
        <v>0</v>
      </c>
      <c r="K318" s="13">
        <v>2750</v>
      </c>
      <c r="L318" s="9">
        <v>47471839</v>
      </c>
    </row>
    <row r="319" spans="1:12" ht="16.5" customHeight="1">
      <c r="A319" s="1"/>
      <c r="B319" s="1" t="s">
        <v>9</v>
      </c>
      <c r="C319" s="6" t="s">
        <v>13</v>
      </c>
      <c r="D319" s="6" t="s">
        <v>3</v>
      </c>
      <c r="E319" s="5">
        <v>4.5</v>
      </c>
      <c r="F319" s="12" t="s">
        <v>21</v>
      </c>
      <c r="G319" s="13">
        <v>1595</v>
      </c>
      <c r="H319" s="9">
        <v>47471839</v>
      </c>
      <c r="I319" s="13" t="s">
        <v>0</v>
      </c>
      <c r="J319" s="9" t="s">
        <v>0</v>
      </c>
      <c r="K319" s="13">
        <v>1595</v>
      </c>
      <c r="L319" s="9">
        <v>47471839</v>
      </c>
    </row>
    <row r="320" spans="1:12" ht="16.5" customHeight="1">
      <c r="A320" s="1"/>
      <c r="B320" s="1" t="s">
        <v>8</v>
      </c>
      <c r="C320" s="6" t="s">
        <v>13</v>
      </c>
      <c r="D320" s="6" t="s">
        <v>3</v>
      </c>
      <c r="E320" s="5">
        <v>4.5</v>
      </c>
      <c r="F320" s="12" t="s">
        <v>21</v>
      </c>
      <c r="G320" s="13">
        <v>2721</v>
      </c>
      <c r="H320" s="9">
        <v>47471839</v>
      </c>
      <c r="I320" s="9" t="s">
        <v>0</v>
      </c>
      <c r="J320" s="9" t="s">
        <v>0</v>
      </c>
      <c r="K320" s="13">
        <v>3180</v>
      </c>
      <c r="L320" s="9">
        <v>47471839</v>
      </c>
    </row>
    <row r="321" spans="1:12" ht="16.5" customHeight="1">
      <c r="A321" s="1"/>
      <c r="B321" s="23" t="s">
        <v>7</v>
      </c>
      <c r="C321" s="4" t="s">
        <v>13</v>
      </c>
      <c r="D321" s="4" t="s">
        <v>3</v>
      </c>
      <c r="E321" s="3">
        <v>4.5</v>
      </c>
      <c r="F321" s="12" t="s">
        <v>21</v>
      </c>
      <c r="G321" s="10">
        <v>1267</v>
      </c>
      <c r="H321" s="9">
        <v>47471839</v>
      </c>
      <c r="I321" s="11" t="s">
        <v>0</v>
      </c>
      <c r="J321" s="9" t="s">
        <v>0</v>
      </c>
      <c r="K321" s="10">
        <v>1403</v>
      </c>
      <c r="L321" s="9">
        <v>47471839</v>
      </c>
    </row>
    <row r="322" spans="1:12" ht="16.5" customHeight="1">
      <c r="A322" s="1"/>
      <c r="B322" s="196" t="s">
        <v>4</v>
      </c>
      <c r="C322" s="8" t="s">
        <v>13</v>
      </c>
      <c r="D322" s="8" t="s">
        <v>3</v>
      </c>
      <c r="E322" s="7">
        <v>5</v>
      </c>
      <c r="F322" s="15" t="s">
        <v>21</v>
      </c>
      <c r="G322" s="197">
        <f>$E322</f>
        <v>5</v>
      </c>
      <c r="H322" s="14">
        <v>47471840</v>
      </c>
      <c r="I322" s="14" t="s">
        <v>0</v>
      </c>
      <c r="J322" s="14" t="s">
        <v>0</v>
      </c>
      <c r="K322" s="197">
        <f>$E322</f>
        <v>5</v>
      </c>
      <c r="L322" s="14">
        <v>47471840</v>
      </c>
    </row>
    <row r="323" spans="1:12" ht="16.5" customHeight="1">
      <c r="A323" s="1"/>
      <c r="B323" s="1" t="s">
        <v>11</v>
      </c>
      <c r="C323" s="6" t="s">
        <v>13</v>
      </c>
      <c r="D323" s="6" t="s">
        <v>3</v>
      </c>
      <c r="E323" s="5">
        <v>5</v>
      </c>
      <c r="F323" s="12" t="s">
        <v>21</v>
      </c>
      <c r="G323" s="13">
        <v>1140</v>
      </c>
      <c r="H323" s="9">
        <v>47471840</v>
      </c>
      <c r="I323" s="9" t="s">
        <v>0</v>
      </c>
      <c r="J323" s="9" t="s">
        <v>0</v>
      </c>
      <c r="K323" s="13">
        <v>900</v>
      </c>
      <c r="L323" s="9">
        <v>47471840</v>
      </c>
    </row>
    <row r="324" spans="1:12" ht="16.5" customHeight="1">
      <c r="A324" s="1"/>
      <c r="B324" s="1" t="s">
        <v>10</v>
      </c>
      <c r="C324" s="6" t="s">
        <v>13</v>
      </c>
      <c r="D324" s="6" t="s">
        <v>3</v>
      </c>
      <c r="E324" s="5">
        <v>5</v>
      </c>
      <c r="F324" s="12" t="s">
        <v>21</v>
      </c>
      <c r="G324" s="13">
        <v>3000</v>
      </c>
      <c r="H324" s="9">
        <v>47471840</v>
      </c>
      <c r="I324" s="13" t="s">
        <v>0</v>
      </c>
      <c r="J324" s="9" t="s">
        <v>0</v>
      </c>
      <c r="K324" s="13">
        <v>3000</v>
      </c>
      <c r="L324" s="9">
        <v>47471840</v>
      </c>
    </row>
    <row r="325" spans="1:12" ht="16.5" customHeight="1">
      <c r="A325" s="1"/>
      <c r="B325" s="1" t="s">
        <v>9</v>
      </c>
      <c r="C325" s="6" t="s">
        <v>13</v>
      </c>
      <c r="D325" s="6" t="s">
        <v>3</v>
      </c>
      <c r="E325" s="5">
        <v>5</v>
      </c>
      <c r="F325" s="12" t="s">
        <v>21</v>
      </c>
      <c r="G325" s="13">
        <v>1665</v>
      </c>
      <c r="H325" s="9">
        <v>47471840</v>
      </c>
      <c r="I325" s="13" t="s">
        <v>0</v>
      </c>
      <c r="J325" s="9" t="s">
        <v>0</v>
      </c>
      <c r="K325" s="13">
        <v>1665</v>
      </c>
      <c r="L325" s="9">
        <v>47471840</v>
      </c>
    </row>
    <row r="326" spans="1:12" ht="16.5" customHeight="1">
      <c r="A326" s="1"/>
      <c r="B326" s="1" t="s">
        <v>8</v>
      </c>
      <c r="C326" s="6" t="s">
        <v>13</v>
      </c>
      <c r="D326" s="6" t="s">
        <v>3</v>
      </c>
      <c r="E326" s="5">
        <v>5</v>
      </c>
      <c r="F326" s="12" t="s">
        <v>21</v>
      </c>
      <c r="G326" s="13">
        <v>2721</v>
      </c>
      <c r="H326" s="9">
        <v>47471840</v>
      </c>
      <c r="I326" s="9" t="s">
        <v>0</v>
      </c>
      <c r="J326" s="9" t="s">
        <v>0</v>
      </c>
      <c r="K326" s="13">
        <v>3180</v>
      </c>
      <c r="L326" s="9">
        <v>47471840</v>
      </c>
    </row>
    <row r="327" spans="1:12" ht="16.5" customHeight="1">
      <c r="A327" s="1"/>
      <c r="B327" s="23" t="s">
        <v>7</v>
      </c>
      <c r="C327" s="4" t="s">
        <v>13</v>
      </c>
      <c r="D327" s="4" t="s">
        <v>3</v>
      </c>
      <c r="E327" s="3">
        <v>5</v>
      </c>
      <c r="F327" s="12" t="s">
        <v>21</v>
      </c>
      <c r="G327" s="10">
        <v>1267</v>
      </c>
      <c r="H327" s="9">
        <v>47471840</v>
      </c>
      <c r="I327" s="11" t="s">
        <v>0</v>
      </c>
      <c r="J327" s="9" t="s">
        <v>0</v>
      </c>
      <c r="K327" s="10">
        <v>1403</v>
      </c>
      <c r="L327" s="9">
        <v>47471840</v>
      </c>
    </row>
    <row r="328" spans="1:12" ht="16.5" customHeight="1">
      <c r="A328" s="1"/>
      <c r="B328" s="196" t="s">
        <v>4</v>
      </c>
      <c r="C328" s="8" t="s">
        <v>13</v>
      </c>
      <c r="D328" s="8" t="s">
        <v>3</v>
      </c>
      <c r="E328" s="7">
        <v>6</v>
      </c>
      <c r="F328" s="15" t="s">
        <v>21</v>
      </c>
      <c r="G328" s="197">
        <f>$E328</f>
        <v>6</v>
      </c>
      <c r="H328" s="14">
        <v>47471841</v>
      </c>
      <c r="I328" s="14" t="s">
        <v>0</v>
      </c>
      <c r="J328" s="14" t="s">
        <v>0</v>
      </c>
      <c r="K328" s="197">
        <f>$E328</f>
        <v>6</v>
      </c>
      <c r="L328" s="14">
        <v>47471841</v>
      </c>
    </row>
    <row r="329" spans="1:12" ht="16.5" customHeight="1">
      <c r="A329" s="1"/>
      <c r="B329" s="1" t="s">
        <v>11</v>
      </c>
      <c r="C329" s="6" t="s">
        <v>13</v>
      </c>
      <c r="D329" s="6" t="s">
        <v>3</v>
      </c>
      <c r="E329" s="5">
        <v>6</v>
      </c>
      <c r="F329" s="12" t="s">
        <v>21</v>
      </c>
      <c r="G329" s="13">
        <v>840</v>
      </c>
      <c r="H329" s="9">
        <v>47471841</v>
      </c>
      <c r="I329" s="9" t="s">
        <v>0</v>
      </c>
      <c r="J329" s="9" t="s">
        <v>0</v>
      </c>
      <c r="K329" s="13">
        <v>660</v>
      </c>
      <c r="L329" s="9">
        <v>47471841</v>
      </c>
    </row>
    <row r="330" spans="1:12" ht="16.5" customHeight="1">
      <c r="A330" s="1"/>
      <c r="B330" s="1" t="s">
        <v>10</v>
      </c>
      <c r="C330" s="6" t="s">
        <v>13</v>
      </c>
      <c r="D330" s="6" t="s">
        <v>3</v>
      </c>
      <c r="E330" s="5">
        <v>6</v>
      </c>
      <c r="F330" s="12" t="s">
        <v>21</v>
      </c>
      <c r="G330" s="13">
        <v>3200</v>
      </c>
      <c r="H330" s="9">
        <v>47471841</v>
      </c>
      <c r="I330" s="13" t="s">
        <v>0</v>
      </c>
      <c r="J330" s="9" t="s">
        <v>0</v>
      </c>
      <c r="K330" s="13">
        <v>3200</v>
      </c>
      <c r="L330" s="9">
        <v>47471841</v>
      </c>
    </row>
    <row r="331" spans="1:12" ht="16.5" customHeight="1">
      <c r="A331" s="1"/>
      <c r="B331" s="1" t="s">
        <v>9</v>
      </c>
      <c r="C331" s="6" t="s">
        <v>13</v>
      </c>
      <c r="D331" s="6" t="s">
        <v>3</v>
      </c>
      <c r="E331" s="5">
        <v>6</v>
      </c>
      <c r="F331" s="12" t="s">
        <v>21</v>
      </c>
      <c r="G331" s="13">
        <v>2320</v>
      </c>
      <c r="H331" s="9">
        <v>47471841</v>
      </c>
      <c r="I331" s="13" t="s">
        <v>0</v>
      </c>
      <c r="J331" s="9" t="s">
        <v>0</v>
      </c>
      <c r="K331" s="13">
        <v>2320</v>
      </c>
      <c r="L331" s="9">
        <v>47471841</v>
      </c>
    </row>
    <row r="332" spans="1:12" ht="16.5" customHeight="1">
      <c r="A332" s="1"/>
      <c r="B332" s="1" t="s">
        <v>8</v>
      </c>
      <c r="C332" s="6" t="s">
        <v>13</v>
      </c>
      <c r="D332" s="6" t="s">
        <v>3</v>
      </c>
      <c r="E332" s="5">
        <v>6</v>
      </c>
      <c r="F332" s="12" t="s">
        <v>21</v>
      </c>
      <c r="G332" s="13">
        <v>2526</v>
      </c>
      <c r="H332" s="9">
        <v>47471841</v>
      </c>
      <c r="I332" s="9" t="s">
        <v>0</v>
      </c>
      <c r="J332" s="9" t="s">
        <v>0</v>
      </c>
      <c r="K332" s="13">
        <v>2983</v>
      </c>
      <c r="L332" s="9">
        <v>47471841</v>
      </c>
    </row>
    <row r="333" spans="1:12" ht="16.5" customHeight="1">
      <c r="A333" s="1"/>
      <c r="B333" s="23" t="s">
        <v>7</v>
      </c>
      <c r="C333" s="4" t="s">
        <v>13</v>
      </c>
      <c r="D333" s="4" t="s">
        <v>3</v>
      </c>
      <c r="E333" s="3">
        <v>6</v>
      </c>
      <c r="F333" s="12" t="s">
        <v>21</v>
      </c>
      <c r="G333" s="10">
        <v>1168</v>
      </c>
      <c r="H333" s="9">
        <v>47471841</v>
      </c>
      <c r="I333" s="11" t="s">
        <v>0</v>
      </c>
      <c r="J333" s="9" t="s">
        <v>0</v>
      </c>
      <c r="K333" s="10">
        <v>1308</v>
      </c>
      <c r="L333" s="9">
        <v>47471841</v>
      </c>
    </row>
    <row r="334" spans="1:12" ht="16.5" customHeight="1">
      <c r="A334" s="1"/>
      <c r="B334" s="196" t="s">
        <v>4</v>
      </c>
      <c r="C334" s="8" t="s">
        <v>13</v>
      </c>
      <c r="D334" s="8" t="s">
        <v>3</v>
      </c>
      <c r="E334" s="7">
        <v>7.5</v>
      </c>
      <c r="F334" s="15" t="s">
        <v>21</v>
      </c>
      <c r="G334" s="197">
        <f>$E334</f>
        <v>7.5</v>
      </c>
      <c r="H334" s="14">
        <v>47471842</v>
      </c>
      <c r="I334" s="14" t="s">
        <v>0</v>
      </c>
      <c r="J334" s="14" t="s">
        <v>0</v>
      </c>
      <c r="K334" s="197">
        <f>$E334</f>
        <v>7.5</v>
      </c>
      <c r="L334" s="14">
        <v>47471842</v>
      </c>
    </row>
    <row r="335" spans="1:12" ht="16.5" customHeight="1">
      <c r="A335" s="1"/>
      <c r="B335" s="1" t="s">
        <v>11</v>
      </c>
      <c r="C335" s="6" t="s">
        <v>13</v>
      </c>
      <c r="D335" s="6" t="s">
        <v>3</v>
      </c>
      <c r="E335" s="5">
        <v>7.5</v>
      </c>
      <c r="F335" s="12" t="s">
        <v>21</v>
      </c>
      <c r="G335" s="13">
        <v>665</v>
      </c>
      <c r="H335" s="9">
        <v>47471842</v>
      </c>
      <c r="I335" s="9" t="s">
        <v>0</v>
      </c>
      <c r="J335" s="9" t="s">
        <v>0</v>
      </c>
      <c r="K335" s="13">
        <v>505</v>
      </c>
      <c r="L335" s="9">
        <v>47471842</v>
      </c>
    </row>
    <row r="336" spans="1:12" ht="16.5" customHeight="1">
      <c r="A336" s="1"/>
      <c r="B336" s="1" t="s">
        <v>10</v>
      </c>
      <c r="C336" s="6" t="s">
        <v>13</v>
      </c>
      <c r="D336" s="6" t="s">
        <v>3</v>
      </c>
      <c r="E336" s="5">
        <v>7.5</v>
      </c>
      <c r="F336" s="12" t="s">
        <v>21</v>
      </c>
      <c r="G336" s="13">
        <v>3200</v>
      </c>
      <c r="H336" s="9">
        <v>47471842</v>
      </c>
      <c r="I336" s="13" t="s">
        <v>0</v>
      </c>
      <c r="J336" s="9" t="s">
        <v>0</v>
      </c>
      <c r="K336" s="13">
        <v>3200</v>
      </c>
      <c r="L336" s="9">
        <v>47471842</v>
      </c>
    </row>
    <row r="337" spans="1:12" ht="16.5" customHeight="1">
      <c r="A337" s="1"/>
      <c r="B337" s="1" t="s">
        <v>9</v>
      </c>
      <c r="C337" s="6" t="s">
        <v>13</v>
      </c>
      <c r="D337" s="6" t="s">
        <v>3</v>
      </c>
      <c r="E337" s="5">
        <v>7.5</v>
      </c>
      <c r="F337" s="12" t="s">
        <v>21</v>
      </c>
      <c r="G337" s="13">
        <v>2690</v>
      </c>
      <c r="H337" s="9">
        <v>47471842</v>
      </c>
      <c r="I337" s="13" t="s">
        <v>0</v>
      </c>
      <c r="J337" s="9" t="s">
        <v>0</v>
      </c>
      <c r="K337" s="13">
        <v>2690</v>
      </c>
      <c r="L337" s="9">
        <v>47471842</v>
      </c>
    </row>
    <row r="338" spans="1:12" ht="16.5" customHeight="1">
      <c r="A338" s="1"/>
      <c r="B338" s="1" t="s">
        <v>8</v>
      </c>
      <c r="C338" s="6" t="s">
        <v>13</v>
      </c>
      <c r="D338" s="6" t="s">
        <v>3</v>
      </c>
      <c r="E338" s="5">
        <v>7.5</v>
      </c>
      <c r="F338" s="12" t="s">
        <v>21</v>
      </c>
      <c r="G338" s="13">
        <v>2463</v>
      </c>
      <c r="H338" s="9">
        <v>47471842</v>
      </c>
      <c r="I338" s="9" t="s">
        <v>0</v>
      </c>
      <c r="J338" s="9" t="s">
        <v>0</v>
      </c>
      <c r="K338" s="13">
        <v>2923</v>
      </c>
      <c r="L338" s="9">
        <v>47471842</v>
      </c>
    </row>
    <row r="339" spans="1:12" ht="16.5" customHeight="1">
      <c r="A339" s="1"/>
      <c r="B339" s="23" t="s">
        <v>7</v>
      </c>
      <c r="C339" s="4" t="s">
        <v>13</v>
      </c>
      <c r="D339" s="4" t="s">
        <v>3</v>
      </c>
      <c r="E339" s="3">
        <v>7.5</v>
      </c>
      <c r="F339" s="12" t="s">
        <v>21</v>
      </c>
      <c r="G339" s="10">
        <v>1336</v>
      </c>
      <c r="H339" s="9">
        <v>47471842</v>
      </c>
      <c r="I339" s="11" t="s">
        <v>0</v>
      </c>
      <c r="J339" s="9" t="s">
        <v>0</v>
      </c>
      <c r="K339" s="10">
        <v>1477</v>
      </c>
      <c r="L339" s="9">
        <v>47471842</v>
      </c>
    </row>
    <row r="340" spans="1:12" ht="16.5" customHeight="1">
      <c r="A340" s="1"/>
      <c r="B340" s="196" t="s">
        <v>4</v>
      </c>
      <c r="C340" s="8" t="s">
        <v>13</v>
      </c>
      <c r="D340" s="8" t="s">
        <v>3</v>
      </c>
      <c r="E340" s="7">
        <v>9</v>
      </c>
      <c r="F340" s="15" t="s">
        <v>21</v>
      </c>
      <c r="G340" s="197">
        <f>$E340</f>
        <v>9</v>
      </c>
      <c r="H340" s="14">
        <v>47471843</v>
      </c>
      <c r="I340" s="14" t="s">
        <v>0</v>
      </c>
      <c r="J340" s="14" t="s">
        <v>0</v>
      </c>
      <c r="K340" s="197">
        <f>$E340</f>
        <v>9</v>
      </c>
      <c r="L340" s="14">
        <v>47471843</v>
      </c>
    </row>
    <row r="341" spans="1:12" ht="16.5" customHeight="1">
      <c r="A341" s="1"/>
      <c r="B341" s="1" t="s">
        <v>11</v>
      </c>
      <c r="C341" s="6" t="s">
        <v>13</v>
      </c>
      <c r="D341" s="6" t="s">
        <v>3</v>
      </c>
      <c r="E341" s="5">
        <v>9</v>
      </c>
      <c r="F341" s="12" t="s">
        <v>21</v>
      </c>
      <c r="G341" s="13">
        <v>520</v>
      </c>
      <c r="H341" s="9">
        <v>47471843</v>
      </c>
      <c r="I341" s="9" t="s">
        <v>0</v>
      </c>
      <c r="J341" s="9" t="s">
        <v>0</v>
      </c>
      <c r="K341" s="13">
        <v>390</v>
      </c>
      <c r="L341" s="9">
        <v>47471843</v>
      </c>
    </row>
    <row r="342" spans="1:12" ht="16.5" customHeight="1">
      <c r="A342" s="1"/>
      <c r="B342" s="1" t="s">
        <v>10</v>
      </c>
      <c r="C342" s="6" t="s">
        <v>13</v>
      </c>
      <c r="D342" s="6" t="s">
        <v>3</v>
      </c>
      <c r="E342" s="5">
        <v>9</v>
      </c>
      <c r="F342" s="12" t="s">
        <v>21</v>
      </c>
      <c r="G342" s="13">
        <v>3000</v>
      </c>
      <c r="H342" s="9">
        <v>47471843</v>
      </c>
      <c r="I342" s="13" t="s">
        <v>0</v>
      </c>
      <c r="J342" s="9" t="s">
        <v>0</v>
      </c>
      <c r="K342" s="13">
        <v>3000</v>
      </c>
      <c r="L342" s="9">
        <v>47471843</v>
      </c>
    </row>
    <row r="343" spans="1:12" ht="16.5" customHeight="1">
      <c r="A343" s="1"/>
      <c r="B343" s="1" t="s">
        <v>9</v>
      </c>
      <c r="C343" s="6" t="s">
        <v>13</v>
      </c>
      <c r="D343" s="6" t="s">
        <v>3</v>
      </c>
      <c r="E343" s="5">
        <v>9</v>
      </c>
      <c r="F343" s="12" t="s">
        <v>21</v>
      </c>
      <c r="G343" s="13">
        <v>2290</v>
      </c>
      <c r="H343" s="9">
        <v>47471843</v>
      </c>
      <c r="I343" s="13" t="s">
        <v>0</v>
      </c>
      <c r="J343" s="9" t="s">
        <v>0</v>
      </c>
      <c r="K343" s="13">
        <v>2290</v>
      </c>
      <c r="L343" s="9">
        <v>47471843</v>
      </c>
    </row>
    <row r="344" spans="1:12" ht="16.5" customHeight="1">
      <c r="A344" s="1"/>
      <c r="B344" s="1" t="s">
        <v>8</v>
      </c>
      <c r="C344" s="6" t="s">
        <v>13</v>
      </c>
      <c r="D344" s="6" t="s">
        <v>3</v>
      </c>
      <c r="E344" s="5">
        <v>9</v>
      </c>
      <c r="F344" s="12" t="s">
        <v>21</v>
      </c>
      <c r="G344" s="13">
        <v>2286</v>
      </c>
      <c r="H344" s="9">
        <v>47471843</v>
      </c>
      <c r="I344" s="9" t="s">
        <v>0</v>
      </c>
      <c r="J344" s="9" t="s">
        <v>0</v>
      </c>
      <c r="K344" s="13">
        <v>2749</v>
      </c>
      <c r="L344" s="9">
        <v>47471843</v>
      </c>
    </row>
    <row r="345" spans="1:12" ht="16.5" customHeight="1">
      <c r="A345" s="1"/>
      <c r="B345" s="23" t="s">
        <v>7</v>
      </c>
      <c r="C345" s="4" t="s">
        <v>13</v>
      </c>
      <c r="D345" s="4" t="s">
        <v>3</v>
      </c>
      <c r="E345" s="3">
        <v>9</v>
      </c>
      <c r="F345" s="12" t="s">
        <v>21</v>
      </c>
      <c r="G345" s="10">
        <v>1534</v>
      </c>
      <c r="H345" s="9">
        <v>47471843</v>
      </c>
      <c r="I345" s="11" t="s">
        <v>0</v>
      </c>
      <c r="J345" s="9" t="s">
        <v>0</v>
      </c>
      <c r="K345" s="10">
        <v>1677</v>
      </c>
      <c r="L345" s="9">
        <v>47471843</v>
      </c>
    </row>
    <row r="346" spans="1:12" ht="16.5" customHeight="1">
      <c r="A346" s="1"/>
      <c r="B346" s="196" t="s">
        <v>4</v>
      </c>
      <c r="C346" s="8" t="s">
        <v>12</v>
      </c>
      <c r="D346" s="8" t="s">
        <v>19</v>
      </c>
      <c r="E346" s="7">
        <v>4</v>
      </c>
      <c r="F346" s="15" t="s">
        <v>21</v>
      </c>
      <c r="G346" s="197">
        <f>$E346</f>
        <v>4</v>
      </c>
      <c r="H346" s="14">
        <v>47471845</v>
      </c>
      <c r="I346" s="14" t="s">
        <v>0</v>
      </c>
      <c r="J346" s="14" t="s">
        <v>0</v>
      </c>
      <c r="K346" s="197">
        <f>$E346</f>
        <v>4</v>
      </c>
      <c r="L346" s="14">
        <v>47471845</v>
      </c>
    </row>
    <row r="347" spans="1:12" ht="16.5" customHeight="1">
      <c r="A347" s="1"/>
      <c r="B347" s="1" t="s">
        <v>11</v>
      </c>
      <c r="C347" s="6" t="s">
        <v>12</v>
      </c>
      <c r="D347" s="6" t="s">
        <v>19</v>
      </c>
      <c r="E347" s="5">
        <v>4</v>
      </c>
      <c r="F347" s="12" t="s">
        <v>21</v>
      </c>
      <c r="G347" s="13">
        <v>1210</v>
      </c>
      <c r="H347" s="9">
        <v>47471845</v>
      </c>
      <c r="I347" s="9" t="s">
        <v>0</v>
      </c>
      <c r="J347" s="9" t="s">
        <v>0</v>
      </c>
      <c r="K347" s="13">
        <v>940</v>
      </c>
      <c r="L347" s="9">
        <v>47471845</v>
      </c>
    </row>
    <row r="348" spans="1:12" ht="16.5" customHeight="1">
      <c r="A348" s="1"/>
      <c r="B348" s="1" t="s">
        <v>10</v>
      </c>
      <c r="C348" s="6" t="s">
        <v>12</v>
      </c>
      <c r="D348" s="6" t="s">
        <v>19</v>
      </c>
      <c r="E348" s="5">
        <v>4</v>
      </c>
      <c r="F348" s="12" t="s">
        <v>21</v>
      </c>
      <c r="G348" s="13">
        <v>2850</v>
      </c>
      <c r="H348" s="9">
        <v>47471845</v>
      </c>
      <c r="I348" s="13" t="s">
        <v>0</v>
      </c>
      <c r="J348" s="9" t="s">
        <v>0</v>
      </c>
      <c r="K348" s="13">
        <v>2850</v>
      </c>
      <c r="L348" s="9">
        <v>47471845</v>
      </c>
    </row>
    <row r="349" spans="1:12" ht="16.5" customHeight="1">
      <c r="A349" s="1"/>
      <c r="B349" s="1" t="s">
        <v>9</v>
      </c>
      <c r="C349" s="6" t="s">
        <v>12</v>
      </c>
      <c r="D349" s="6" t="s">
        <v>19</v>
      </c>
      <c r="E349" s="5">
        <v>4</v>
      </c>
      <c r="F349" s="12" t="s">
        <v>21</v>
      </c>
      <c r="G349" s="13">
        <v>2550</v>
      </c>
      <c r="H349" s="9">
        <v>47471845</v>
      </c>
      <c r="I349" s="13" t="s">
        <v>0</v>
      </c>
      <c r="J349" s="9" t="s">
        <v>0</v>
      </c>
      <c r="K349" s="13">
        <v>2550</v>
      </c>
      <c r="L349" s="9">
        <v>47471845</v>
      </c>
    </row>
    <row r="350" spans="1:12" ht="16.5" customHeight="1">
      <c r="A350" s="1"/>
      <c r="B350" s="1" t="s">
        <v>8</v>
      </c>
      <c r="C350" s="6" t="s">
        <v>12</v>
      </c>
      <c r="D350" s="6" t="s">
        <v>19</v>
      </c>
      <c r="E350" s="5">
        <v>4</v>
      </c>
      <c r="F350" s="12" t="s">
        <v>21</v>
      </c>
      <c r="G350" s="13">
        <v>1662</v>
      </c>
      <c r="H350" s="9">
        <v>47471845</v>
      </c>
      <c r="I350" s="9" t="s">
        <v>0</v>
      </c>
      <c r="J350" s="9" t="s">
        <v>0</v>
      </c>
      <c r="K350" s="13">
        <v>5146</v>
      </c>
      <c r="L350" s="9">
        <v>47471845</v>
      </c>
    </row>
    <row r="351" spans="1:12" ht="16.5" customHeight="1">
      <c r="A351" s="1"/>
      <c r="B351" s="23" t="s">
        <v>7</v>
      </c>
      <c r="C351" s="4" t="s">
        <v>12</v>
      </c>
      <c r="D351" s="4" t="s">
        <v>19</v>
      </c>
      <c r="E351" s="3">
        <v>4</v>
      </c>
      <c r="F351" s="12" t="s">
        <v>21</v>
      </c>
      <c r="G351" s="10">
        <v>1670</v>
      </c>
      <c r="H351" s="9">
        <v>47471845</v>
      </c>
      <c r="I351" s="11" t="s">
        <v>0</v>
      </c>
      <c r="J351" s="9" t="s">
        <v>0</v>
      </c>
      <c r="K351" s="10">
        <v>1768</v>
      </c>
      <c r="L351" s="9">
        <v>47471845</v>
      </c>
    </row>
    <row r="352" spans="1:12" ht="16.5" customHeight="1">
      <c r="A352" s="1">
        <v>7170</v>
      </c>
      <c r="B352" s="196" t="s">
        <v>4</v>
      </c>
      <c r="C352" s="8" t="s">
        <v>12</v>
      </c>
      <c r="D352" s="8" t="s">
        <v>19</v>
      </c>
      <c r="E352" s="7">
        <v>4.5</v>
      </c>
      <c r="F352" s="15" t="s">
        <v>21</v>
      </c>
      <c r="G352" s="197">
        <f>$E352</f>
        <v>4.5</v>
      </c>
      <c r="H352" s="14">
        <v>47471846</v>
      </c>
      <c r="I352" s="14" t="s">
        <v>0</v>
      </c>
      <c r="J352" s="14" t="s">
        <v>0</v>
      </c>
      <c r="K352" s="197">
        <f>$E352</f>
        <v>4.5</v>
      </c>
      <c r="L352" s="14">
        <v>47471846</v>
      </c>
    </row>
    <row r="353" spans="1:12" ht="16.5" customHeight="1">
      <c r="A353" s="1"/>
      <c r="B353" s="1" t="s">
        <v>11</v>
      </c>
      <c r="C353" s="6" t="s">
        <v>12</v>
      </c>
      <c r="D353" s="6" t="s">
        <v>19</v>
      </c>
      <c r="E353" s="5">
        <v>4.5</v>
      </c>
      <c r="F353" s="12" t="s">
        <v>21</v>
      </c>
      <c r="G353" s="13">
        <v>1090</v>
      </c>
      <c r="H353" s="9">
        <v>47471846</v>
      </c>
      <c r="I353" s="9" t="s">
        <v>0</v>
      </c>
      <c r="J353" s="9" t="s">
        <v>0</v>
      </c>
      <c r="K353" s="13">
        <v>830</v>
      </c>
      <c r="L353" s="9">
        <v>47471846</v>
      </c>
    </row>
    <row r="354" spans="1:12" ht="16.5" customHeight="1">
      <c r="A354" s="1"/>
      <c r="B354" s="1" t="s">
        <v>10</v>
      </c>
      <c r="C354" s="6" t="s">
        <v>12</v>
      </c>
      <c r="D354" s="6" t="s">
        <v>19</v>
      </c>
      <c r="E354" s="5">
        <v>4.5</v>
      </c>
      <c r="F354" s="12" t="s">
        <v>21</v>
      </c>
      <c r="G354" s="13">
        <v>2850</v>
      </c>
      <c r="H354" s="9">
        <v>47471846</v>
      </c>
      <c r="I354" s="13" t="s">
        <v>0</v>
      </c>
      <c r="J354" s="9" t="s">
        <v>0</v>
      </c>
      <c r="K354" s="13">
        <v>2850</v>
      </c>
      <c r="L354" s="9">
        <v>47471846</v>
      </c>
    </row>
    <row r="355" spans="1:12" ht="16.5" customHeight="1">
      <c r="A355" s="1"/>
      <c r="B355" s="1" t="s">
        <v>9</v>
      </c>
      <c r="C355" s="6" t="s">
        <v>12</v>
      </c>
      <c r="D355" s="6" t="s">
        <v>19</v>
      </c>
      <c r="E355" s="5">
        <v>4.5</v>
      </c>
      <c r="F355" s="12" t="s">
        <v>21</v>
      </c>
      <c r="G355" s="13">
        <v>2650</v>
      </c>
      <c r="H355" s="9">
        <v>47471846</v>
      </c>
      <c r="I355" s="13" t="s">
        <v>0</v>
      </c>
      <c r="J355" s="9" t="s">
        <v>0</v>
      </c>
      <c r="K355" s="13">
        <v>2650</v>
      </c>
      <c r="L355" s="9">
        <v>47471846</v>
      </c>
    </row>
    <row r="356" spans="1:12" ht="16.5" customHeight="1">
      <c r="A356" s="1"/>
      <c r="B356" s="1" t="s">
        <v>8</v>
      </c>
      <c r="C356" s="6" t="s">
        <v>12</v>
      </c>
      <c r="D356" s="6" t="s">
        <v>19</v>
      </c>
      <c r="E356" s="5">
        <v>4.5</v>
      </c>
      <c r="F356" s="12" t="s">
        <v>21</v>
      </c>
      <c r="G356" s="13">
        <v>4663</v>
      </c>
      <c r="H356" s="9">
        <v>47471846</v>
      </c>
      <c r="I356" s="9" t="s">
        <v>0</v>
      </c>
      <c r="J356" s="9" t="s">
        <v>0</v>
      </c>
      <c r="K356" s="13">
        <v>5146</v>
      </c>
      <c r="L356" s="9">
        <v>47471846</v>
      </c>
    </row>
    <row r="357" spans="1:12" ht="16.5" customHeight="1">
      <c r="A357" s="1"/>
      <c r="B357" s="23" t="s">
        <v>7</v>
      </c>
      <c r="C357" s="4" t="s">
        <v>12</v>
      </c>
      <c r="D357" s="4" t="s">
        <v>19</v>
      </c>
      <c r="E357" s="3">
        <v>4.5</v>
      </c>
      <c r="F357" s="12" t="s">
        <v>21</v>
      </c>
      <c r="G357" s="10">
        <v>1670</v>
      </c>
      <c r="H357" s="9">
        <v>47471846</v>
      </c>
      <c r="I357" s="11" t="s">
        <v>0</v>
      </c>
      <c r="J357" s="9" t="s">
        <v>0</v>
      </c>
      <c r="K357" s="10">
        <v>1768</v>
      </c>
      <c r="L357" s="9">
        <v>47471846</v>
      </c>
    </row>
    <row r="358" spans="1:12" ht="16.5" customHeight="1">
      <c r="A358" s="1"/>
      <c r="B358" s="196" t="s">
        <v>4</v>
      </c>
      <c r="C358" s="8" t="s">
        <v>12</v>
      </c>
      <c r="D358" s="8" t="s">
        <v>19</v>
      </c>
      <c r="E358" s="7">
        <v>5</v>
      </c>
      <c r="F358" s="15" t="s">
        <v>21</v>
      </c>
      <c r="G358" s="197">
        <f>$E358</f>
        <v>5</v>
      </c>
      <c r="H358" s="14">
        <v>47471847</v>
      </c>
      <c r="I358" s="14" t="s">
        <v>0</v>
      </c>
      <c r="J358" s="14" t="s">
        <v>0</v>
      </c>
      <c r="K358" s="197">
        <f>$E358</f>
        <v>5</v>
      </c>
      <c r="L358" s="14">
        <v>47471847</v>
      </c>
    </row>
    <row r="359" spans="1:12" ht="16.5" customHeight="1">
      <c r="A359" s="1"/>
      <c r="B359" s="1" t="s">
        <v>11</v>
      </c>
      <c r="C359" s="6" t="s">
        <v>12</v>
      </c>
      <c r="D359" s="6" t="s">
        <v>19</v>
      </c>
      <c r="E359" s="5">
        <v>5</v>
      </c>
      <c r="F359" s="12" t="s">
        <v>21</v>
      </c>
      <c r="G359" s="13">
        <v>910</v>
      </c>
      <c r="H359" s="9">
        <v>47471847</v>
      </c>
      <c r="I359" s="9" t="s">
        <v>0</v>
      </c>
      <c r="J359" s="9" t="s">
        <v>0</v>
      </c>
      <c r="K359" s="13">
        <v>680</v>
      </c>
      <c r="L359" s="9">
        <v>47471847</v>
      </c>
    </row>
    <row r="360" spans="1:12" ht="16.5" customHeight="1">
      <c r="A360" s="1"/>
      <c r="B360" s="1" t="s">
        <v>10</v>
      </c>
      <c r="C360" s="6" t="s">
        <v>12</v>
      </c>
      <c r="D360" s="6" t="s">
        <v>19</v>
      </c>
      <c r="E360" s="5">
        <v>5</v>
      </c>
      <c r="F360" s="12" t="s">
        <v>21</v>
      </c>
      <c r="G360" s="13">
        <v>3000</v>
      </c>
      <c r="H360" s="9">
        <v>47471847</v>
      </c>
      <c r="I360" s="13" t="s">
        <v>0</v>
      </c>
      <c r="J360" s="9" t="s">
        <v>0</v>
      </c>
      <c r="K360" s="13">
        <v>3000</v>
      </c>
      <c r="L360" s="9">
        <v>47471847</v>
      </c>
    </row>
    <row r="361" spans="1:12" ht="16.5" customHeight="1">
      <c r="A361" s="1"/>
      <c r="B361" s="1" t="s">
        <v>9</v>
      </c>
      <c r="C361" s="6" t="s">
        <v>12</v>
      </c>
      <c r="D361" s="6" t="s">
        <v>19</v>
      </c>
      <c r="E361" s="5">
        <v>5</v>
      </c>
      <c r="F361" s="12" t="s">
        <v>21</v>
      </c>
      <c r="G361" s="13">
        <v>2920</v>
      </c>
      <c r="H361" s="9">
        <v>47471847</v>
      </c>
      <c r="I361" s="13" t="s">
        <v>0</v>
      </c>
      <c r="J361" s="9" t="s">
        <v>0</v>
      </c>
      <c r="K361" s="13">
        <v>2920</v>
      </c>
      <c r="L361" s="9">
        <v>47471847</v>
      </c>
    </row>
    <row r="362" spans="1:12" ht="16.5" customHeight="1">
      <c r="A362" s="1"/>
      <c r="B362" s="1" t="s">
        <v>8</v>
      </c>
      <c r="C362" s="6" t="s">
        <v>12</v>
      </c>
      <c r="D362" s="6" t="s">
        <v>19</v>
      </c>
      <c r="E362" s="5">
        <v>5</v>
      </c>
      <c r="F362" s="12" t="s">
        <v>21</v>
      </c>
      <c r="G362" s="13">
        <v>4760</v>
      </c>
      <c r="H362" s="9">
        <v>47471847</v>
      </c>
      <c r="I362" s="9" t="s">
        <v>0</v>
      </c>
      <c r="J362" s="9" t="s">
        <v>0</v>
      </c>
      <c r="K362" s="13">
        <v>5247</v>
      </c>
      <c r="L362" s="9">
        <v>47471847</v>
      </c>
    </row>
    <row r="363" spans="1:12" ht="16.5" customHeight="1">
      <c r="A363" s="1"/>
      <c r="B363" s="23" t="s">
        <v>7</v>
      </c>
      <c r="C363" s="4" t="s">
        <v>12</v>
      </c>
      <c r="D363" s="4" t="s">
        <v>19</v>
      </c>
      <c r="E363" s="3">
        <v>5</v>
      </c>
      <c r="F363" s="12" t="s">
        <v>21</v>
      </c>
      <c r="G363" s="10">
        <v>1792</v>
      </c>
      <c r="H363" s="9">
        <v>47471847</v>
      </c>
      <c r="I363" s="11" t="s">
        <v>0</v>
      </c>
      <c r="J363" s="9" t="s">
        <v>0</v>
      </c>
      <c r="K363" s="10">
        <v>1887</v>
      </c>
      <c r="L363" s="9">
        <v>47471847</v>
      </c>
    </row>
    <row r="364" spans="1:12" ht="16.5" customHeight="1">
      <c r="A364" s="1"/>
      <c r="B364" s="196" t="s">
        <v>4</v>
      </c>
      <c r="C364" s="8" t="s">
        <v>12</v>
      </c>
      <c r="D364" s="8" t="s">
        <v>3</v>
      </c>
      <c r="E364" s="7">
        <v>4</v>
      </c>
      <c r="F364" s="15" t="s">
        <v>21</v>
      </c>
      <c r="G364" s="197">
        <f>$E364</f>
        <v>4</v>
      </c>
      <c r="H364" s="14">
        <v>47471848</v>
      </c>
      <c r="I364" s="14" t="s">
        <v>0</v>
      </c>
      <c r="J364" s="14" t="s">
        <v>0</v>
      </c>
      <c r="K364" s="197">
        <f>$E364</f>
        <v>4</v>
      </c>
      <c r="L364" s="14">
        <v>47471848</v>
      </c>
    </row>
    <row r="365" spans="1:12" ht="16.5" customHeight="1">
      <c r="A365" s="1"/>
      <c r="B365" s="1" t="s">
        <v>11</v>
      </c>
      <c r="C365" s="6" t="s">
        <v>12</v>
      </c>
      <c r="D365" s="6" t="s">
        <v>3</v>
      </c>
      <c r="E365" s="5">
        <v>4</v>
      </c>
      <c r="F365" s="12" t="s">
        <v>21</v>
      </c>
      <c r="G365" s="13">
        <v>1315</v>
      </c>
      <c r="H365" s="9">
        <v>47471848</v>
      </c>
      <c r="I365" s="9" t="s">
        <v>0</v>
      </c>
      <c r="J365" s="9" t="s">
        <v>0</v>
      </c>
      <c r="K365" s="13">
        <v>1050</v>
      </c>
      <c r="L365" s="9">
        <v>47471848</v>
      </c>
    </row>
    <row r="366" spans="1:12" ht="16.5" customHeight="1">
      <c r="A366" s="1"/>
      <c r="B366" s="1" t="s">
        <v>10</v>
      </c>
      <c r="C366" s="6" t="s">
        <v>12</v>
      </c>
      <c r="D366" s="6" t="s">
        <v>3</v>
      </c>
      <c r="E366" s="5">
        <v>4</v>
      </c>
      <c r="F366" s="12" t="s">
        <v>21</v>
      </c>
      <c r="G366" s="13">
        <v>2850</v>
      </c>
      <c r="H366" s="9">
        <v>47471848</v>
      </c>
      <c r="I366" s="13" t="s">
        <v>0</v>
      </c>
      <c r="J366" s="9" t="s">
        <v>0</v>
      </c>
      <c r="K366" s="13">
        <v>2850</v>
      </c>
      <c r="L366" s="9">
        <v>47471848</v>
      </c>
    </row>
    <row r="367" spans="1:12" ht="16.5" customHeight="1">
      <c r="A367" s="1"/>
      <c r="B367" s="1" t="s">
        <v>9</v>
      </c>
      <c r="C367" s="6" t="s">
        <v>12</v>
      </c>
      <c r="D367" s="6" t="s">
        <v>3</v>
      </c>
      <c r="E367" s="5">
        <v>4</v>
      </c>
      <c r="F367" s="12" t="s">
        <v>21</v>
      </c>
      <c r="G367" s="13">
        <v>2050</v>
      </c>
      <c r="H367" s="9">
        <v>47471848</v>
      </c>
      <c r="I367" s="13" t="s">
        <v>0</v>
      </c>
      <c r="J367" s="9" t="s">
        <v>0</v>
      </c>
      <c r="K367" s="13">
        <v>2050</v>
      </c>
      <c r="L367" s="9">
        <v>47471848</v>
      </c>
    </row>
    <row r="368" spans="1:12" ht="16.5" customHeight="1">
      <c r="A368" s="1"/>
      <c r="B368" s="1" t="s">
        <v>8</v>
      </c>
      <c r="C368" s="6" t="s">
        <v>12</v>
      </c>
      <c r="D368" s="6" t="s">
        <v>3</v>
      </c>
      <c r="E368" s="5">
        <v>4</v>
      </c>
      <c r="F368" s="12" t="s">
        <v>21</v>
      </c>
      <c r="G368" s="13">
        <v>4655</v>
      </c>
      <c r="H368" s="9">
        <v>47471848</v>
      </c>
      <c r="I368" s="9" t="s">
        <v>0</v>
      </c>
      <c r="J368" s="9" t="s">
        <v>0</v>
      </c>
      <c r="K368" s="13">
        <v>5130</v>
      </c>
      <c r="L368" s="9">
        <v>47471848</v>
      </c>
    </row>
    <row r="369" spans="1:12" ht="16.5" customHeight="1">
      <c r="A369" s="1"/>
      <c r="B369" s="23" t="s">
        <v>7</v>
      </c>
      <c r="C369" s="4" t="s">
        <v>12</v>
      </c>
      <c r="D369" s="4" t="s">
        <v>3</v>
      </c>
      <c r="E369" s="3">
        <v>4</v>
      </c>
      <c r="F369" s="12" t="s">
        <v>21</v>
      </c>
      <c r="G369" s="10">
        <v>1409</v>
      </c>
      <c r="H369" s="9">
        <v>47471848</v>
      </c>
      <c r="I369" s="11" t="s">
        <v>0</v>
      </c>
      <c r="J369" s="9" t="s">
        <v>0</v>
      </c>
      <c r="K369" s="10">
        <v>1506</v>
      </c>
      <c r="L369" s="9">
        <v>47471848</v>
      </c>
    </row>
    <row r="370" spans="1:12" ht="16.5" customHeight="1">
      <c r="A370" s="1"/>
      <c r="B370" s="196" t="s">
        <v>4</v>
      </c>
      <c r="C370" s="8" t="s">
        <v>12</v>
      </c>
      <c r="D370" s="8" t="s">
        <v>3</v>
      </c>
      <c r="E370" s="7">
        <v>4.5</v>
      </c>
      <c r="F370" s="15" t="s">
        <v>21</v>
      </c>
      <c r="G370" s="197">
        <f>$E370</f>
        <v>4.5</v>
      </c>
      <c r="H370" s="14">
        <v>47471849</v>
      </c>
      <c r="I370" s="14" t="s">
        <v>0</v>
      </c>
      <c r="J370" s="14" t="s">
        <v>0</v>
      </c>
      <c r="K370" s="197">
        <f>$E370</f>
        <v>4.5</v>
      </c>
      <c r="L370" s="14">
        <v>47471849</v>
      </c>
    </row>
    <row r="371" spans="1:12" ht="16.5" customHeight="1">
      <c r="A371" s="1"/>
      <c r="B371" s="1" t="s">
        <v>11</v>
      </c>
      <c r="C371" s="6" t="s">
        <v>12</v>
      </c>
      <c r="D371" s="6" t="s">
        <v>3</v>
      </c>
      <c r="E371" s="5">
        <v>4.5</v>
      </c>
      <c r="F371" s="12" t="s">
        <v>21</v>
      </c>
      <c r="G371" s="13">
        <v>1205</v>
      </c>
      <c r="H371" s="9">
        <v>47471849</v>
      </c>
      <c r="I371" s="9" t="s">
        <v>0</v>
      </c>
      <c r="J371" s="9" t="s">
        <v>0</v>
      </c>
      <c r="K371" s="13">
        <v>950</v>
      </c>
      <c r="L371" s="9">
        <v>47471849</v>
      </c>
    </row>
    <row r="372" spans="1:12" ht="16.5" customHeight="1">
      <c r="A372" s="1"/>
      <c r="B372" s="1" t="s">
        <v>10</v>
      </c>
      <c r="C372" s="6" t="s">
        <v>12</v>
      </c>
      <c r="D372" s="6" t="s">
        <v>3</v>
      </c>
      <c r="E372" s="5">
        <v>4.5</v>
      </c>
      <c r="F372" s="12" t="s">
        <v>21</v>
      </c>
      <c r="G372" s="13">
        <v>2850</v>
      </c>
      <c r="H372" s="9">
        <v>47471849</v>
      </c>
      <c r="I372" s="13" t="s">
        <v>0</v>
      </c>
      <c r="J372" s="9" t="s">
        <v>0</v>
      </c>
      <c r="K372" s="13">
        <v>2850</v>
      </c>
      <c r="L372" s="9">
        <v>47471849</v>
      </c>
    </row>
    <row r="373" spans="1:12" ht="16.5" customHeight="1">
      <c r="A373" s="1"/>
      <c r="B373" s="1" t="s">
        <v>9</v>
      </c>
      <c r="C373" s="6" t="s">
        <v>12</v>
      </c>
      <c r="D373" s="6" t="s">
        <v>3</v>
      </c>
      <c r="E373" s="5">
        <v>4.5</v>
      </c>
      <c r="F373" s="12" t="s">
        <v>21</v>
      </c>
      <c r="G373" s="13">
        <v>2150</v>
      </c>
      <c r="H373" s="9">
        <v>47471849</v>
      </c>
      <c r="I373" s="13" t="s">
        <v>0</v>
      </c>
      <c r="J373" s="9" t="s">
        <v>0</v>
      </c>
      <c r="K373" s="13">
        <v>2150</v>
      </c>
      <c r="L373" s="9">
        <v>47471849</v>
      </c>
    </row>
    <row r="374" spans="1:12" ht="16.5" customHeight="1">
      <c r="A374" s="1"/>
      <c r="B374" s="1" t="s">
        <v>8</v>
      </c>
      <c r="C374" s="6" t="s">
        <v>12</v>
      </c>
      <c r="D374" s="6" t="s">
        <v>3</v>
      </c>
      <c r="E374" s="5">
        <v>4.5</v>
      </c>
      <c r="F374" s="12" t="s">
        <v>21</v>
      </c>
      <c r="G374" s="13">
        <v>4703</v>
      </c>
      <c r="H374" s="9">
        <v>47471849</v>
      </c>
      <c r="I374" s="9" t="s">
        <v>0</v>
      </c>
      <c r="J374" s="9" t="s">
        <v>0</v>
      </c>
      <c r="K374" s="13">
        <v>5182</v>
      </c>
      <c r="L374" s="9">
        <v>47471849</v>
      </c>
    </row>
    <row r="375" spans="1:12" ht="16.5" customHeight="1">
      <c r="A375" s="1"/>
      <c r="B375" s="23" t="s">
        <v>7</v>
      </c>
      <c r="C375" s="4" t="s">
        <v>12</v>
      </c>
      <c r="D375" s="4" t="s">
        <v>3</v>
      </c>
      <c r="E375" s="3">
        <v>4.5</v>
      </c>
      <c r="F375" s="12" t="s">
        <v>21</v>
      </c>
      <c r="G375" s="10">
        <v>1499</v>
      </c>
      <c r="H375" s="9">
        <v>47471849</v>
      </c>
      <c r="I375" s="11" t="s">
        <v>0</v>
      </c>
      <c r="J375" s="9" t="s">
        <v>0</v>
      </c>
      <c r="K375" s="10">
        <v>1596</v>
      </c>
      <c r="L375" s="9">
        <v>47471849</v>
      </c>
    </row>
    <row r="376" spans="1:12" ht="16.5" customHeight="1">
      <c r="A376" s="1"/>
      <c r="B376" s="196" t="s">
        <v>4</v>
      </c>
      <c r="C376" s="8" t="s">
        <v>12</v>
      </c>
      <c r="D376" s="8" t="s">
        <v>3</v>
      </c>
      <c r="E376" s="7">
        <v>5</v>
      </c>
      <c r="F376" s="15" t="s">
        <v>21</v>
      </c>
      <c r="G376" s="197">
        <f>$E376</f>
        <v>5</v>
      </c>
      <c r="H376" s="14">
        <v>47471850</v>
      </c>
      <c r="I376" s="14" t="s">
        <v>0</v>
      </c>
      <c r="J376" s="14" t="s">
        <v>0</v>
      </c>
      <c r="K376" s="197">
        <f>$E376</f>
        <v>5</v>
      </c>
      <c r="L376" s="14">
        <v>47471850</v>
      </c>
    </row>
    <row r="377" spans="1:12" ht="16.5" customHeight="1">
      <c r="A377" s="1"/>
      <c r="B377" s="1" t="s">
        <v>11</v>
      </c>
      <c r="C377" s="6" t="s">
        <v>12</v>
      </c>
      <c r="D377" s="6" t="s">
        <v>3</v>
      </c>
      <c r="E377" s="5">
        <v>5</v>
      </c>
      <c r="F377" s="12" t="s">
        <v>21</v>
      </c>
      <c r="G377" s="13">
        <v>1020</v>
      </c>
      <c r="H377" s="9">
        <v>47471850</v>
      </c>
      <c r="I377" s="9" t="s">
        <v>0</v>
      </c>
      <c r="J377" s="9" t="s">
        <v>0</v>
      </c>
      <c r="K377" s="13">
        <v>800</v>
      </c>
      <c r="L377" s="9">
        <v>47471850</v>
      </c>
    </row>
    <row r="378" spans="1:12" ht="16.5" customHeight="1">
      <c r="A378" s="1"/>
      <c r="B378" s="1" t="s">
        <v>10</v>
      </c>
      <c r="C378" s="6" t="s">
        <v>12</v>
      </c>
      <c r="D378" s="6" t="s">
        <v>3</v>
      </c>
      <c r="E378" s="5">
        <v>5</v>
      </c>
      <c r="F378" s="12" t="s">
        <v>21</v>
      </c>
      <c r="G378" s="13">
        <v>3000</v>
      </c>
      <c r="H378" s="9">
        <v>47471850</v>
      </c>
      <c r="I378" s="13" t="s">
        <v>0</v>
      </c>
      <c r="J378" s="9" t="s">
        <v>0</v>
      </c>
      <c r="K378" s="13">
        <v>3000</v>
      </c>
      <c r="L378" s="9">
        <v>47471850</v>
      </c>
    </row>
    <row r="379" spans="1:12" ht="16.5" customHeight="1">
      <c r="A379" s="1"/>
      <c r="B379" s="1" t="s">
        <v>9</v>
      </c>
      <c r="C379" s="6" t="s">
        <v>12</v>
      </c>
      <c r="D379" s="6" t="s">
        <v>3</v>
      </c>
      <c r="E379" s="5">
        <v>5</v>
      </c>
      <c r="F379" s="12" t="s">
        <v>21</v>
      </c>
      <c r="G379" s="13">
        <v>2420</v>
      </c>
      <c r="H379" s="9">
        <v>47471850</v>
      </c>
      <c r="I379" s="13" t="s">
        <v>0</v>
      </c>
      <c r="J379" s="9" t="s">
        <v>0</v>
      </c>
      <c r="K379" s="13">
        <v>2420</v>
      </c>
      <c r="L379" s="9">
        <v>47471850</v>
      </c>
    </row>
    <row r="380" spans="1:12" ht="16.5" customHeight="1">
      <c r="A380" s="1"/>
      <c r="B380" s="1" t="s">
        <v>8</v>
      </c>
      <c r="C380" s="6" t="s">
        <v>12</v>
      </c>
      <c r="D380" s="6" t="s">
        <v>3</v>
      </c>
      <c r="E380" s="5">
        <v>5</v>
      </c>
      <c r="F380" s="12" t="s">
        <v>21</v>
      </c>
      <c r="G380" s="13">
        <v>4653</v>
      </c>
      <c r="H380" s="9">
        <v>47471850</v>
      </c>
      <c r="I380" s="9" t="s">
        <v>0</v>
      </c>
      <c r="J380" s="9" t="s">
        <v>0</v>
      </c>
      <c r="K380" s="13">
        <v>5137</v>
      </c>
      <c r="L380" s="9">
        <v>47471850</v>
      </c>
    </row>
    <row r="381" spans="1:12" ht="16.5" customHeight="1">
      <c r="A381" s="1"/>
      <c r="B381" s="23" t="s">
        <v>7</v>
      </c>
      <c r="C381" s="4" t="s">
        <v>12</v>
      </c>
      <c r="D381" s="4" t="s">
        <v>3</v>
      </c>
      <c r="E381" s="3">
        <v>5</v>
      </c>
      <c r="F381" s="12" t="s">
        <v>21</v>
      </c>
      <c r="G381" s="10">
        <v>1679</v>
      </c>
      <c r="H381" s="9">
        <v>47471850</v>
      </c>
      <c r="I381" s="11" t="s">
        <v>0</v>
      </c>
      <c r="J381" s="9" t="s">
        <v>0</v>
      </c>
      <c r="K381" s="10">
        <v>1778</v>
      </c>
      <c r="L381" s="9">
        <v>47471850</v>
      </c>
    </row>
    <row r="382" spans="1:12" ht="16.5" customHeight="1">
      <c r="A382" s="1"/>
      <c r="B382" s="196" t="s">
        <v>4</v>
      </c>
      <c r="C382" s="8" t="s">
        <v>12</v>
      </c>
      <c r="D382" s="8" t="s">
        <v>3</v>
      </c>
      <c r="E382" s="7">
        <v>6</v>
      </c>
      <c r="F382" s="15" t="s">
        <v>21</v>
      </c>
      <c r="G382" s="197">
        <f>$E382</f>
        <v>6</v>
      </c>
      <c r="H382" s="14">
        <v>47471853</v>
      </c>
      <c r="I382" s="14" t="s">
        <v>0</v>
      </c>
      <c r="J382" s="14" t="s">
        <v>0</v>
      </c>
      <c r="K382" s="197">
        <f>$E382</f>
        <v>6</v>
      </c>
      <c r="L382" s="14">
        <v>47471853</v>
      </c>
    </row>
    <row r="383" spans="1:12" ht="16.5" customHeight="1">
      <c r="A383" s="1"/>
      <c r="B383" s="1" t="s">
        <v>11</v>
      </c>
      <c r="C383" s="6" t="s">
        <v>12</v>
      </c>
      <c r="D383" s="6" t="s">
        <v>3</v>
      </c>
      <c r="E383" s="5">
        <v>6</v>
      </c>
      <c r="F383" s="12" t="s">
        <v>21</v>
      </c>
      <c r="G383" s="13">
        <v>775</v>
      </c>
      <c r="H383" s="9">
        <v>47471853</v>
      </c>
      <c r="I383" s="9" t="s">
        <v>0</v>
      </c>
      <c r="J383" s="9" t="s">
        <v>0</v>
      </c>
      <c r="K383" s="13">
        <v>575</v>
      </c>
      <c r="L383" s="9">
        <v>47471853</v>
      </c>
    </row>
    <row r="384" spans="1:12" ht="16.5" customHeight="1">
      <c r="A384" s="1"/>
      <c r="B384" s="1" t="s">
        <v>10</v>
      </c>
      <c r="C384" s="6" t="s">
        <v>12</v>
      </c>
      <c r="D384" s="6" t="s">
        <v>3</v>
      </c>
      <c r="E384" s="5">
        <v>6</v>
      </c>
      <c r="F384" s="12" t="s">
        <v>21</v>
      </c>
      <c r="G384" s="13">
        <v>3200</v>
      </c>
      <c r="H384" s="9">
        <v>47471853</v>
      </c>
      <c r="I384" s="13" t="s">
        <v>0</v>
      </c>
      <c r="J384" s="9" t="s">
        <v>0</v>
      </c>
      <c r="K384" s="13">
        <v>3200</v>
      </c>
      <c r="L384" s="9">
        <v>47471853</v>
      </c>
    </row>
    <row r="385" spans="1:12" ht="16.5" customHeight="1">
      <c r="A385" s="1"/>
      <c r="B385" s="1" t="s">
        <v>9</v>
      </c>
      <c r="C385" s="6" t="s">
        <v>12</v>
      </c>
      <c r="D385" s="6" t="s">
        <v>3</v>
      </c>
      <c r="E385" s="5">
        <v>6</v>
      </c>
      <c r="F385" s="12" t="s">
        <v>21</v>
      </c>
      <c r="G385" s="13">
        <v>2950</v>
      </c>
      <c r="H385" s="9">
        <v>47471853</v>
      </c>
      <c r="I385" s="13" t="s">
        <v>0</v>
      </c>
      <c r="J385" s="9" t="s">
        <v>0</v>
      </c>
      <c r="K385" s="13">
        <v>2950</v>
      </c>
      <c r="L385" s="9">
        <v>47471853</v>
      </c>
    </row>
    <row r="386" spans="1:12" ht="16.5" customHeight="1">
      <c r="A386" s="1"/>
      <c r="B386" s="1" t="s">
        <v>8</v>
      </c>
      <c r="C386" s="6" t="s">
        <v>12</v>
      </c>
      <c r="D386" s="6" t="s">
        <v>3</v>
      </c>
      <c r="E386" s="5">
        <v>6</v>
      </c>
      <c r="F386" s="12" t="s">
        <v>21</v>
      </c>
      <c r="G386" s="13">
        <v>4651</v>
      </c>
      <c r="H386" s="9">
        <v>47471853</v>
      </c>
      <c r="I386" s="9" t="s">
        <v>0</v>
      </c>
      <c r="J386" s="9" t="s">
        <v>0</v>
      </c>
      <c r="K386" s="13">
        <v>5134</v>
      </c>
      <c r="L386" s="9">
        <v>47471853</v>
      </c>
    </row>
    <row r="387" spans="1:12" ht="16.5" customHeight="1">
      <c r="A387" s="1"/>
      <c r="B387" s="23" t="s">
        <v>7</v>
      </c>
      <c r="C387" s="4" t="s">
        <v>12</v>
      </c>
      <c r="D387" s="4" t="s">
        <v>3</v>
      </c>
      <c r="E387" s="3">
        <v>6</v>
      </c>
      <c r="F387" s="12" t="s">
        <v>21</v>
      </c>
      <c r="G387" s="10">
        <v>1675</v>
      </c>
      <c r="H387" s="9">
        <v>47471853</v>
      </c>
      <c r="I387" s="11" t="s">
        <v>0</v>
      </c>
      <c r="J387" s="9" t="s">
        <v>0</v>
      </c>
      <c r="K387" s="10">
        <v>1772</v>
      </c>
      <c r="L387" s="9">
        <v>47471853</v>
      </c>
    </row>
    <row r="388" spans="1:12" ht="16.5" customHeight="1">
      <c r="A388" s="1"/>
      <c r="B388" s="196" t="s">
        <v>4</v>
      </c>
      <c r="C388" s="205" t="s">
        <v>146</v>
      </c>
      <c r="D388" s="8" t="s">
        <v>19</v>
      </c>
      <c r="E388" s="7">
        <v>4.5</v>
      </c>
      <c r="F388" s="15" t="s">
        <v>21</v>
      </c>
      <c r="G388" s="197">
        <f>$E388</f>
        <v>4.5</v>
      </c>
      <c r="H388" s="14">
        <v>47471860</v>
      </c>
      <c r="I388" s="14" t="s">
        <v>0</v>
      </c>
      <c r="J388" s="14" t="s">
        <v>0</v>
      </c>
      <c r="K388" s="197">
        <f>$E388</f>
        <v>4.5</v>
      </c>
      <c r="L388" s="14">
        <v>47471860</v>
      </c>
    </row>
    <row r="389" spans="1:12" ht="16.5" customHeight="1">
      <c r="A389" s="1"/>
      <c r="B389" s="1" t="s">
        <v>11</v>
      </c>
      <c r="C389" s="206" t="s">
        <v>146</v>
      </c>
      <c r="D389" s="6" t="s">
        <v>19</v>
      </c>
      <c r="E389" s="5">
        <v>4.5</v>
      </c>
      <c r="F389" s="12" t="s">
        <v>21</v>
      </c>
      <c r="G389" s="13">
        <v>1055</v>
      </c>
      <c r="H389" s="9">
        <v>47471860</v>
      </c>
      <c r="I389" s="9" t="s">
        <v>0</v>
      </c>
      <c r="J389" s="9" t="s">
        <v>0</v>
      </c>
      <c r="K389" s="13">
        <v>800</v>
      </c>
      <c r="L389" s="9">
        <v>47471860</v>
      </c>
    </row>
    <row r="390" spans="1:12" ht="16.5" customHeight="1">
      <c r="A390" s="1"/>
      <c r="B390" s="1" t="s">
        <v>10</v>
      </c>
      <c r="C390" s="206" t="s">
        <v>146</v>
      </c>
      <c r="D390" s="6" t="s">
        <v>19</v>
      </c>
      <c r="E390" s="5">
        <v>4.5</v>
      </c>
      <c r="F390" s="12" t="s">
        <v>21</v>
      </c>
      <c r="G390" s="13">
        <v>2850</v>
      </c>
      <c r="H390" s="9">
        <v>47471860</v>
      </c>
      <c r="I390" s="13" t="s">
        <v>0</v>
      </c>
      <c r="J390" s="9" t="s">
        <v>0</v>
      </c>
      <c r="K390" s="13">
        <v>2850</v>
      </c>
      <c r="L390" s="9">
        <v>47471860</v>
      </c>
    </row>
    <row r="391" spans="1:12" ht="16.5" customHeight="1">
      <c r="A391" s="1"/>
      <c r="B391" s="1" t="s">
        <v>9</v>
      </c>
      <c r="C391" s="206" t="s">
        <v>146</v>
      </c>
      <c r="D391" s="6" t="s">
        <v>19</v>
      </c>
      <c r="E391" s="5">
        <v>4.5</v>
      </c>
      <c r="F391" s="12" t="s">
        <v>21</v>
      </c>
      <c r="G391" s="13">
        <v>2780</v>
      </c>
      <c r="H391" s="9">
        <v>47471860</v>
      </c>
      <c r="I391" s="13" t="s">
        <v>0</v>
      </c>
      <c r="J391" s="9" t="s">
        <v>0</v>
      </c>
      <c r="K391" s="13">
        <v>2780</v>
      </c>
      <c r="L391" s="9">
        <v>47471860</v>
      </c>
    </row>
    <row r="392" spans="1:12" ht="16.5" customHeight="1">
      <c r="A392" s="1"/>
      <c r="B392" s="1" t="s">
        <v>8</v>
      </c>
      <c r="C392" s="206" t="s">
        <v>146</v>
      </c>
      <c r="D392" s="6" t="s">
        <v>19</v>
      </c>
      <c r="E392" s="5">
        <v>4.5</v>
      </c>
      <c r="F392" s="12" t="s">
        <v>21</v>
      </c>
      <c r="G392" s="13">
        <v>2507</v>
      </c>
      <c r="H392" s="9">
        <v>47471860</v>
      </c>
      <c r="I392" s="9" t="s">
        <v>0</v>
      </c>
      <c r="J392" s="9" t="s">
        <v>0</v>
      </c>
      <c r="K392" s="13">
        <v>2948</v>
      </c>
      <c r="L392" s="9">
        <v>47471860</v>
      </c>
    </row>
    <row r="393" spans="1:12" ht="16.5" customHeight="1">
      <c r="A393" s="1"/>
      <c r="B393" s="23" t="s">
        <v>7</v>
      </c>
      <c r="C393" s="207" t="s">
        <v>146</v>
      </c>
      <c r="D393" s="4" t="s">
        <v>19</v>
      </c>
      <c r="E393" s="3">
        <v>4.5</v>
      </c>
      <c r="F393" s="12" t="s">
        <v>21</v>
      </c>
      <c r="G393" s="10">
        <v>1458</v>
      </c>
      <c r="H393" s="9">
        <v>47471860</v>
      </c>
      <c r="I393" s="11" t="s">
        <v>0</v>
      </c>
      <c r="J393" s="9" t="s">
        <v>0</v>
      </c>
      <c r="K393" s="10">
        <v>1571</v>
      </c>
      <c r="L393" s="9">
        <v>47471860</v>
      </c>
    </row>
    <row r="394" spans="1:12" ht="16.5" customHeight="1">
      <c r="A394" s="1">
        <v>8760</v>
      </c>
      <c r="B394" s="196" t="s">
        <v>4</v>
      </c>
      <c r="C394" s="205" t="s">
        <v>146</v>
      </c>
      <c r="D394" s="8" t="s">
        <v>19</v>
      </c>
      <c r="E394" s="7">
        <v>5.3</v>
      </c>
      <c r="F394" s="15" t="s">
        <v>21</v>
      </c>
      <c r="G394" s="197">
        <f>$E394</f>
        <v>5.3</v>
      </c>
      <c r="H394" s="14">
        <v>47471861</v>
      </c>
      <c r="I394" s="14" t="s">
        <v>0</v>
      </c>
      <c r="J394" s="14" t="s">
        <v>0</v>
      </c>
      <c r="K394" s="197">
        <f>$E394</f>
        <v>5.3</v>
      </c>
      <c r="L394" s="14">
        <v>47471861</v>
      </c>
    </row>
    <row r="395" spans="1:12" ht="16.5" customHeight="1">
      <c r="A395" s="1"/>
      <c r="B395" s="1" t="s">
        <v>11</v>
      </c>
      <c r="C395" s="206" t="s">
        <v>146</v>
      </c>
      <c r="D395" s="6" t="s">
        <v>19</v>
      </c>
      <c r="E395" s="5">
        <v>5.3</v>
      </c>
      <c r="F395" s="12" t="s">
        <v>21</v>
      </c>
      <c r="G395" s="13">
        <v>870</v>
      </c>
      <c r="H395" s="9">
        <v>47471861</v>
      </c>
      <c r="I395" s="9" t="s">
        <v>0</v>
      </c>
      <c r="J395" s="9" t="s">
        <v>0</v>
      </c>
      <c r="K395" s="13">
        <v>640</v>
      </c>
      <c r="L395" s="9">
        <v>47471861</v>
      </c>
    </row>
    <row r="396" spans="1:12" ht="16.5" customHeight="1">
      <c r="A396" s="1"/>
      <c r="B396" s="1" t="s">
        <v>10</v>
      </c>
      <c r="C396" s="206" t="s">
        <v>146</v>
      </c>
      <c r="D396" s="6" t="s">
        <v>19</v>
      </c>
      <c r="E396" s="5">
        <v>5.3</v>
      </c>
      <c r="F396" s="12" t="s">
        <v>21</v>
      </c>
      <c r="G396" s="13">
        <v>2850</v>
      </c>
      <c r="H396" s="9">
        <v>47471861</v>
      </c>
      <c r="I396" s="13" t="s">
        <v>0</v>
      </c>
      <c r="J396" s="9" t="s">
        <v>0</v>
      </c>
      <c r="K396" s="13">
        <v>2850</v>
      </c>
      <c r="L396" s="9">
        <v>47471861</v>
      </c>
    </row>
    <row r="397" spans="1:12" ht="16.5" customHeight="1">
      <c r="A397" s="1"/>
      <c r="B397" s="1" t="s">
        <v>9</v>
      </c>
      <c r="C397" s="206" t="s">
        <v>146</v>
      </c>
      <c r="D397" s="6" t="s">
        <v>19</v>
      </c>
      <c r="E397" s="5">
        <v>5.3</v>
      </c>
      <c r="F397" s="12" t="s">
        <v>21</v>
      </c>
      <c r="G397" s="13">
        <v>2950</v>
      </c>
      <c r="H397" s="9">
        <v>47471861</v>
      </c>
      <c r="I397" s="13" t="s">
        <v>0</v>
      </c>
      <c r="J397" s="9" t="s">
        <v>0</v>
      </c>
      <c r="K397" s="13">
        <v>2950</v>
      </c>
      <c r="L397" s="9">
        <v>47471861</v>
      </c>
    </row>
    <row r="398" spans="1:12" ht="16.5" customHeight="1">
      <c r="A398" s="1"/>
      <c r="B398" s="1" t="s">
        <v>8</v>
      </c>
      <c r="C398" s="206" t="s">
        <v>146</v>
      </c>
      <c r="D398" s="6" t="s">
        <v>19</v>
      </c>
      <c r="E398" s="5">
        <v>5.3</v>
      </c>
      <c r="F398" s="12" t="s">
        <v>21</v>
      </c>
      <c r="G398" s="13">
        <v>2507</v>
      </c>
      <c r="H398" s="9">
        <v>47471861</v>
      </c>
      <c r="I398" s="9" t="s">
        <v>0</v>
      </c>
      <c r="J398" s="9" t="s">
        <v>0</v>
      </c>
      <c r="K398" s="13">
        <v>2948</v>
      </c>
      <c r="L398" s="9">
        <v>47471861</v>
      </c>
    </row>
    <row r="399" spans="1:12" ht="16.5" customHeight="1">
      <c r="A399" s="1"/>
      <c r="B399" s="23" t="s">
        <v>7</v>
      </c>
      <c r="C399" s="207" t="s">
        <v>146</v>
      </c>
      <c r="D399" s="4" t="s">
        <v>19</v>
      </c>
      <c r="E399" s="3">
        <v>5.3</v>
      </c>
      <c r="F399" s="12" t="s">
        <v>21</v>
      </c>
      <c r="G399" s="10">
        <v>1458</v>
      </c>
      <c r="H399" s="9">
        <v>47471861</v>
      </c>
      <c r="I399" s="11" t="s">
        <v>0</v>
      </c>
      <c r="J399" s="9" t="s">
        <v>0</v>
      </c>
      <c r="K399" s="10">
        <v>1571</v>
      </c>
      <c r="L399" s="9">
        <v>47471861</v>
      </c>
    </row>
    <row r="400" spans="1:12" ht="16.5" customHeight="1">
      <c r="A400" s="1"/>
      <c r="B400" s="196" t="s">
        <v>4</v>
      </c>
      <c r="C400" s="205" t="s">
        <v>146</v>
      </c>
      <c r="D400" s="8" t="s">
        <v>19</v>
      </c>
      <c r="E400" s="7">
        <v>5.8</v>
      </c>
      <c r="F400" s="15" t="s">
        <v>21</v>
      </c>
      <c r="G400" s="197">
        <f>$E400</f>
        <v>5.8</v>
      </c>
      <c r="H400" s="14">
        <v>47471862</v>
      </c>
      <c r="I400" s="14" t="s">
        <v>0</v>
      </c>
      <c r="J400" s="14" t="s">
        <v>0</v>
      </c>
      <c r="K400" s="197">
        <f>$E400</f>
        <v>5.8</v>
      </c>
      <c r="L400" s="14">
        <v>47471862</v>
      </c>
    </row>
    <row r="401" spans="1:12" ht="16.5" customHeight="1">
      <c r="A401" s="1"/>
      <c r="B401" s="1" t="s">
        <v>11</v>
      </c>
      <c r="C401" s="206" t="s">
        <v>146</v>
      </c>
      <c r="D401" s="6" t="s">
        <v>19</v>
      </c>
      <c r="E401" s="5">
        <v>5.8</v>
      </c>
      <c r="F401" s="12" t="s">
        <v>21</v>
      </c>
      <c r="G401" s="13">
        <v>760</v>
      </c>
      <c r="H401" s="9">
        <v>47471862</v>
      </c>
      <c r="I401" s="9" t="s">
        <v>0</v>
      </c>
      <c r="J401" s="9" t="s">
        <v>0</v>
      </c>
      <c r="K401" s="13">
        <v>550</v>
      </c>
      <c r="L401" s="9">
        <v>47471862</v>
      </c>
    </row>
    <row r="402" spans="1:12" ht="16.5" customHeight="1">
      <c r="A402" s="1"/>
      <c r="B402" s="1" t="s">
        <v>10</v>
      </c>
      <c r="C402" s="206" t="s">
        <v>146</v>
      </c>
      <c r="D402" s="6" t="s">
        <v>19</v>
      </c>
      <c r="E402" s="5">
        <v>5.8</v>
      </c>
      <c r="F402" s="12" t="s">
        <v>21</v>
      </c>
      <c r="G402" s="13">
        <v>3000</v>
      </c>
      <c r="H402" s="9">
        <v>47471862</v>
      </c>
      <c r="I402" s="13" t="s">
        <v>0</v>
      </c>
      <c r="J402" s="9" t="s">
        <v>0</v>
      </c>
      <c r="K402" s="13">
        <v>3000</v>
      </c>
      <c r="L402" s="9">
        <v>47471862</v>
      </c>
    </row>
    <row r="403" spans="1:12" ht="16.5" customHeight="1">
      <c r="A403" s="1"/>
      <c r="B403" s="1" t="s">
        <v>9</v>
      </c>
      <c r="C403" s="206" t="s">
        <v>146</v>
      </c>
      <c r="D403" s="6" t="s">
        <v>19</v>
      </c>
      <c r="E403" s="5">
        <v>5.8</v>
      </c>
      <c r="F403" s="12" t="s">
        <v>21</v>
      </c>
      <c r="G403" s="13">
        <v>3150</v>
      </c>
      <c r="H403" s="9">
        <v>47471862</v>
      </c>
      <c r="I403" s="13" t="s">
        <v>0</v>
      </c>
      <c r="J403" s="9" t="s">
        <v>0</v>
      </c>
      <c r="K403" s="13">
        <v>3150</v>
      </c>
      <c r="L403" s="9">
        <v>47471862</v>
      </c>
    </row>
    <row r="404" spans="1:12" ht="16.5" customHeight="1">
      <c r="A404" s="1"/>
      <c r="B404" s="1" t="s">
        <v>8</v>
      </c>
      <c r="C404" s="206" t="s">
        <v>146</v>
      </c>
      <c r="D404" s="6" t="s">
        <v>19</v>
      </c>
      <c r="E404" s="5">
        <v>5.8</v>
      </c>
      <c r="F404" s="12" t="s">
        <v>21</v>
      </c>
      <c r="G404" s="13">
        <v>2506</v>
      </c>
      <c r="H404" s="9">
        <v>47471862</v>
      </c>
      <c r="I404" s="9" t="s">
        <v>0</v>
      </c>
      <c r="J404" s="9" t="s">
        <v>0</v>
      </c>
      <c r="K404" s="13">
        <v>2948</v>
      </c>
      <c r="L404" s="9">
        <v>47471862</v>
      </c>
    </row>
    <row r="405" spans="1:12" ht="16.5" customHeight="1">
      <c r="A405" s="1"/>
      <c r="B405" s="23" t="s">
        <v>7</v>
      </c>
      <c r="C405" s="207" t="s">
        <v>146</v>
      </c>
      <c r="D405" s="4" t="s">
        <v>19</v>
      </c>
      <c r="E405" s="3">
        <v>5.8</v>
      </c>
      <c r="F405" s="12" t="s">
        <v>21</v>
      </c>
      <c r="G405" s="10">
        <v>1458</v>
      </c>
      <c r="H405" s="9">
        <v>47471862</v>
      </c>
      <c r="I405" s="11" t="s">
        <v>0</v>
      </c>
      <c r="J405" s="9" t="s">
        <v>0</v>
      </c>
      <c r="K405" s="10">
        <v>1571</v>
      </c>
      <c r="L405" s="9">
        <v>47471862</v>
      </c>
    </row>
    <row r="406" spans="1:12" ht="16.5" customHeight="1">
      <c r="A406" s="1"/>
      <c r="B406" s="196" t="s">
        <v>4</v>
      </c>
      <c r="C406" s="205" t="s">
        <v>146</v>
      </c>
      <c r="D406" s="8" t="s">
        <v>3</v>
      </c>
      <c r="E406" s="7">
        <v>4.5</v>
      </c>
      <c r="F406" s="15" t="s">
        <v>21</v>
      </c>
      <c r="G406" s="197">
        <f>$E406</f>
        <v>4.5</v>
      </c>
      <c r="H406" s="14">
        <v>47471863</v>
      </c>
      <c r="I406" s="14" t="s">
        <v>0</v>
      </c>
      <c r="J406" s="14" t="s">
        <v>0</v>
      </c>
      <c r="K406" s="197">
        <f>$E406</f>
        <v>4.5</v>
      </c>
      <c r="L406" s="14">
        <v>47471863</v>
      </c>
    </row>
    <row r="407" spans="1:12" ht="16.5" customHeight="1">
      <c r="A407" s="1"/>
      <c r="B407" s="1" t="s">
        <v>11</v>
      </c>
      <c r="C407" s="206" t="s">
        <v>146</v>
      </c>
      <c r="D407" s="6" t="s">
        <v>3</v>
      </c>
      <c r="E407" s="5">
        <v>4.5</v>
      </c>
      <c r="F407" s="12" t="s">
        <v>21</v>
      </c>
      <c r="G407" s="13">
        <v>1190</v>
      </c>
      <c r="H407" s="9">
        <v>47471863</v>
      </c>
      <c r="I407" s="9" t="s">
        <v>0</v>
      </c>
      <c r="J407" s="9" t="s">
        <v>0</v>
      </c>
      <c r="K407" s="13">
        <v>930</v>
      </c>
      <c r="L407" s="9">
        <v>47471863</v>
      </c>
    </row>
    <row r="408" spans="1:12" ht="16.5" customHeight="1">
      <c r="A408" s="1"/>
      <c r="B408" s="1" t="s">
        <v>10</v>
      </c>
      <c r="C408" s="206" t="s">
        <v>146</v>
      </c>
      <c r="D408" s="6" t="s">
        <v>3</v>
      </c>
      <c r="E408" s="5">
        <v>4.5</v>
      </c>
      <c r="F408" s="12" t="s">
        <v>21</v>
      </c>
      <c r="G408" s="13">
        <v>2850</v>
      </c>
      <c r="H408" s="9">
        <v>47471863</v>
      </c>
      <c r="I408" s="13" t="s">
        <v>0</v>
      </c>
      <c r="J408" s="9" t="s">
        <v>0</v>
      </c>
      <c r="K408" s="13">
        <v>2850</v>
      </c>
      <c r="L408" s="9">
        <v>47471863</v>
      </c>
    </row>
    <row r="409" spans="1:12" ht="16.5" customHeight="1">
      <c r="A409" s="1"/>
      <c r="B409" s="1" t="s">
        <v>9</v>
      </c>
      <c r="C409" s="206" t="s">
        <v>146</v>
      </c>
      <c r="D409" s="6" t="s">
        <v>3</v>
      </c>
      <c r="E409" s="5">
        <v>4.5</v>
      </c>
      <c r="F409" s="12" t="s">
        <v>21</v>
      </c>
      <c r="G409" s="13">
        <v>2280</v>
      </c>
      <c r="H409" s="9">
        <v>47471863</v>
      </c>
      <c r="I409" s="13" t="s">
        <v>0</v>
      </c>
      <c r="J409" s="9" t="s">
        <v>0</v>
      </c>
      <c r="K409" s="13">
        <v>2280</v>
      </c>
      <c r="L409" s="9">
        <v>47471863</v>
      </c>
    </row>
    <row r="410" spans="1:12" ht="16.5" customHeight="1">
      <c r="A410" s="1"/>
      <c r="B410" s="1" t="s">
        <v>8</v>
      </c>
      <c r="C410" s="206" t="s">
        <v>146</v>
      </c>
      <c r="D410" s="6" t="s">
        <v>3</v>
      </c>
      <c r="E410" s="5">
        <v>4.5</v>
      </c>
      <c r="F410" s="12" t="s">
        <v>21</v>
      </c>
      <c r="G410" s="13">
        <v>2630</v>
      </c>
      <c r="H410" s="9">
        <v>47471863</v>
      </c>
      <c r="I410" s="9" t="s">
        <v>0</v>
      </c>
      <c r="J410" s="9" t="s">
        <v>0</v>
      </c>
      <c r="K410" s="13">
        <v>3072</v>
      </c>
      <c r="L410" s="9">
        <v>47471863</v>
      </c>
    </row>
    <row r="411" spans="1:12" ht="16.5" customHeight="1">
      <c r="A411" s="1"/>
      <c r="B411" s="23" t="s">
        <v>7</v>
      </c>
      <c r="C411" s="207" t="s">
        <v>146</v>
      </c>
      <c r="D411" s="4" t="s">
        <v>3</v>
      </c>
      <c r="E411" s="3">
        <v>4.5</v>
      </c>
      <c r="F411" s="12" t="s">
        <v>21</v>
      </c>
      <c r="G411" s="10">
        <v>1313</v>
      </c>
      <c r="H411" s="9">
        <v>47471863</v>
      </c>
      <c r="I411" s="11" t="s">
        <v>0</v>
      </c>
      <c r="J411" s="9" t="s">
        <v>0</v>
      </c>
      <c r="K411" s="10">
        <v>1425</v>
      </c>
      <c r="L411" s="9">
        <v>47471863</v>
      </c>
    </row>
    <row r="412" spans="1:12" ht="16.5" customHeight="1">
      <c r="A412" s="1"/>
      <c r="B412" s="196" t="s">
        <v>4</v>
      </c>
      <c r="C412" s="205" t="s">
        <v>146</v>
      </c>
      <c r="D412" s="8" t="s">
        <v>3</v>
      </c>
      <c r="E412" s="7">
        <v>5.3</v>
      </c>
      <c r="F412" s="15" t="s">
        <v>21</v>
      </c>
      <c r="G412" s="197">
        <f>$E412</f>
        <v>5.3</v>
      </c>
      <c r="H412" s="14">
        <v>47471864</v>
      </c>
      <c r="I412" s="14" t="s">
        <v>0</v>
      </c>
      <c r="J412" s="14" t="s">
        <v>0</v>
      </c>
      <c r="K412" s="197">
        <f>$E412</f>
        <v>5.3</v>
      </c>
      <c r="L412" s="14">
        <v>47471864</v>
      </c>
    </row>
    <row r="413" spans="1:12" ht="16.5" customHeight="1">
      <c r="A413" s="1"/>
      <c r="B413" s="1" t="s">
        <v>11</v>
      </c>
      <c r="C413" s="206" t="s">
        <v>146</v>
      </c>
      <c r="D413" s="6" t="s">
        <v>3</v>
      </c>
      <c r="E413" s="5">
        <v>5.3</v>
      </c>
      <c r="F413" s="12" t="s">
        <v>21</v>
      </c>
      <c r="G413" s="13">
        <v>980</v>
      </c>
      <c r="H413" s="9">
        <v>47471864</v>
      </c>
      <c r="I413" s="9" t="s">
        <v>0</v>
      </c>
      <c r="J413" s="9" t="s">
        <v>0</v>
      </c>
      <c r="K413" s="13">
        <v>745</v>
      </c>
      <c r="L413" s="9">
        <v>47471864</v>
      </c>
    </row>
    <row r="414" spans="1:12" ht="16.5" customHeight="1">
      <c r="A414" s="1"/>
      <c r="B414" s="1" t="s">
        <v>10</v>
      </c>
      <c r="C414" s="206" t="s">
        <v>146</v>
      </c>
      <c r="D414" s="6" t="s">
        <v>3</v>
      </c>
      <c r="E414" s="5">
        <v>5.3</v>
      </c>
      <c r="F414" s="12" t="s">
        <v>21</v>
      </c>
      <c r="G414" s="13">
        <v>2850</v>
      </c>
      <c r="H414" s="9">
        <v>47471864</v>
      </c>
      <c r="I414" s="13" t="s">
        <v>0</v>
      </c>
      <c r="J414" s="9" t="s">
        <v>0</v>
      </c>
      <c r="K414" s="13">
        <v>2850</v>
      </c>
      <c r="L414" s="9">
        <v>47471864</v>
      </c>
    </row>
    <row r="415" spans="1:12" ht="16.5" customHeight="1">
      <c r="A415" s="1"/>
      <c r="B415" s="1" t="s">
        <v>9</v>
      </c>
      <c r="C415" s="206" t="s">
        <v>146</v>
      </c>
      <c r="D415" s="6" t="s">
        <v>3</v>
      </c>
      <c r="E415" s="5">
        <v>5.3</v>
      </c>
      <c r="F415" s="12" t="s">
        <v>21</v>
      </c>
      <c r="G415" s="13">
        <v>2450</v>
      </c>
      <c r="H415" s="9">
        <v>47471864</v>
      </c>
      <c r="I415" s="13" t="s">
        <v>0</v>
      </c>
      <c r="J415" s="9" t="s">
        <v>0</v>
      </c>
      <c r="K415" s="13">
        <v>2450</v>
      </c>
      <c r="L415" s="9">
        <v>47471864</v>
      </c>
    </row>
    <row r="416" spans="1:12" ht="16.5" customHeight="1">
      <c r="A416" s="1"/>
      <c r="B416" s="1" t="s">
        <v>8</v>
      </c>
      <c r="C416" s="206" t="s">
        <v>146</v>
      </c>
      <c r="D416" s="6" t="s">
        <v>3</v>
      </c>
      <c r="E416" s="5">
        <v>5.3</v>
      </c>
      <c r="F416" s="12" t="s">
        <v>21</v>
      </c>
      <c r="G416" s="13">
        <v>2630</v>
      </c>
      <c r="H416" s="9">
        <v>47471864</v>
      </c>
      <c r="I416" s="9" t="s">
        <v>0</v>
      </c>
      <c r="J416" s="9" t="s">
        <v>0</v>
      </c>
      <c r="K416" s="13">
        <v>3071</v>
      </c>
      <c r="L416" s="9">
        <v>47471864</v>
      </c>
    </row>
    <row r="417" spans="1:12" ht="16.5" customHeight="1">
      <c r="A417" s="1"/>
      <c r="B417" s="23" t="s">
        <v>7</v>
      </c>
      <c r="C417" s="207" t="s">
        <v>146</v>
      </c>
      <c r="D417" s="4" t="s">
        <v>3</v>
      </c>
      <c r="E417" s="3">
        <v>5.3</v>
      </c>
      <c r="F417" s="12" t="s">
        <v>21</v>
      </c>
      <c r="G417" s="10">
        <v>1313</v>
      </c>
      <c r="H417" s="9">
        <v>47471864</v>
      </c>
      <c r="I417" s="11" t="s">
        <v>0</v>
      </c>
      <c r="J417" s="9" t="s">
        <v>0</v>
      </c>
      <c r="K417" s="10">
        <v>1425</v>
      </c>
      <c r="L417" s="9">
        <v>47471864</v>
      </c>
    </row>
    <row r="418" spans="1:12" ht="16.5" customHeight="1">
      <c r="A418" s="1"/>
      <c r="B418" s="196" t="s">
        <v>4</v>
      </c>
      <c r="C418" s="205" t="s">
        <v>146</v>
      </c>
      <c r="D418" s="8" t="s">
        <v>3</v>
      </c>
      <c r="E418" s="7">
        <v>5.8</v>
      </c>
      <c r="F418" s="15" t="s">
        <v>21</v>
      </c>
      <c r="G418" s="197">
        <f>$E418</f>
        <v>5.8</v>
      </c>
      <c r="H418" s="14">
        <v>47471865</v>
      </c>
      <c r="I418" s="14" t="s">
        <v>0</v>
      </c>
      <c r="J418" s="14" t="s">
        <v>0</v>
      </c>
      <c r="K418" s="197">
        <f>$E418</f>
        <v>5.8</v>
      </c>
      <c r="L418" s="14">
        <v>47471865</v>
      </c>
    </row>
    <row r="419" spans="1:12" ht="16.5" customHeight="1">
      <c r="A419" s="1"/>
      <c r="B419" s="1" t="s">
        <v>11</v>
      </c>
      <c r="C419" s="206" t="s">
        <v>146</v>
      </c>
      <c r="D419" s="6" t="s">
        <v>3</v>
      </c>
      <c r="E419" s="5">
        <v>5.8</v>
      </c>
      <c r="F419" s="12" t="s">
        <v>21</v>
      </c>
      <c r="G419" s="13">
        <v>860</v>
      </c>
      <c r="H419" s="9">
        <v>47471865</v>
      </c>
      <c r="I419" s="9" t="s">
        <v>0</v>
      </c>
      <c r="J419" s="9" t="s">
        <v>0</v>
      </c>
      <c r="K419" s="13">
        <v>655</v>
      </c>
      <c r="L419" s="9">
        <v>47471865</v>
      </c>
    </row>
    <row r="420" spans="1:12" ht="16.5" customHeight="1">
      <c r="A420" s="1"/>
      <c r="B420" s="1" t="s">
        <v>10</v>
      </c>
      <c r="C420" s="206" t="s">
        <v>146</v>
      </c>
      <c r="D420" s="6" t="s">
        <v>3</v>
      </c>
      <c r="E420" s="5">
        <v>5.8</v>
      </c>
      <c r="F420" s="12" t="s">
        <v>21</v>
      </c>
      <c r="G420" s="13">
        <v>3000</v>
      </c>
      <c r="H420" s="9">
        <v>47471865</v>
      </c>
      <c r="I420" s="13" t="s">
        <v>0</v>
      </c>
      <c r="J420" s="9" t="s">
        <v>0</v>
      </c>
      <c r="K420" s="13">
        <v>3000</v>
      </c>
      <c r="L420" s="9">
        <v>47471865</v>
      </c>
    </row>
    <row r="421" spans="1:12" ht="16.5" customHeight="1">
      <c r="A421" s="1"/>
      <c r="B421" s="1" t="s">
        <v>9</v>
      </c>
      <c r="C421" s="206" t="s">
        <v>146</v>
      </c>
      <c r="D421" s="6" t="s">
        <v>3</v>
      </c>
      <c r="E421" s="5">
        <v>5.8</v>
      </c>
      <c r="F421" s="12" t="s">
        <v>21</v>
      </c>
      <c r="G421" s="13">
        <v>2650</v>
      </c>
      <c r="H421" s="9">
        <v>47471865</v>
      </c>
      <c r="I421" s="13" t="s">
        <v>0</v>
      </c>
      <c r="J421" s="9" t="s">
        <v>0</v>
      </c>
      <c r="K421" s="13">
        <v>2650</v>
      </c>
      <c r="L421" s="9">
        <v>47471865</v>
      </c>
    </row>
    <row r="422" spans="1:12" ht="16.5" customHeight="1">
      <c r="A422" s="1"/>
      <c r="B422" s="1" t="s">
        <v>8</v>
      </c>
      <c r="C422" s="206" t="s">
        <v>146</v>
      </c>
      <c r="D422" s="6" t="s">
        <v>3</v>
      </c>
      <c r="E422" s="5">
        <v>5.8</v>
      </c>
      <c r="F422" s="12" t="s">
        <v>21</v>
      </c>
      <c r="G422" s="13">
        <v>2630</v>
      </c>
      <c r="H422" s="9">
        <v>47471865</v>
      </c>
      <c r="I422" s="9" t="s">
        <v>0</v>
      </c>
      <c r="J422" s="9" t="s">
        <v>0</v>
      </c>
      <c r="K422" s="13">
        <v>3071</v>
      </c>
      <c r="L422" s="9">
        <v>47471865</v>
      </c>
    </row>
    <row r="423" spans="1:12" ht="16.5" customHeight="1">
      <c r="A423" s="1"/>
      <c r="B423" s="23" t="s">
        <v>7</v>
      </c>
      <c r="C423" s="207" t="s">
        <v>146</v>
      </c>
      <c r="D423" s="4" t="s">
        <v>3</v>
      </c>
      <c r="E423" s="3">
        <v>5.8</v>
      </c>
      <c r="F423" s="12" t="s">
        <v>21</v>
      </c>
      <c r="G423" s="10">
        <v>1313</v>
      </c>
      <c r="H423" s="9">
        <v>47471865</v>
      </c>
      <c r="I423" s="11" t="s">
        <v>0</v>
      </c>
      <c r="J423" s="9" t="s">
        <v>0</v>
      </c>
      <c r="K423" s="10">
        <v>1425</v>
      </c>
      <c r="L423" s="9">
        <v>47471865</v>
      </c>
    </row>
    <row r="424" spans="1:12" ht="16.5" customHeight="1">
      <c r="A424" s="1"/>
      <c r="B424" s="1" t="s">
        <v>4</v>
      </c>
      <c r="C424" s="205" t="s">
        <v>147</v>
      </c>
      <c r="D424" s="8" t="s">
        <v>19</v>
      </c>
      <c r="E424" s="200" t="s">
        <v>23</v>
      </c>
      <c r="F424" s="2" t="s">
        <v>21</v>
      </c>
      <c r="G424" s="197" t="str">
        <f t="shared" ref="G424:G430" si="6">$E424</f>
        <v>1,1mc</v>
      </c>
      <c r="H424" s="198">
        <v>47471854</v>
      </c>
      <c r="I424" s="197" t="s">
        <v>0</v>
      </c>
      <c r="J424" s="198" t="s">
        <v>0</v>
      </c>
      <c r="K424" s="197" t="str">
        <f t="shared" ref="K424:K429" si="7">$E424</f>
        <v>1,1mc</v>
      </c>
      <c r="L424" s="198">
        <v>47471854</v>
      </c>
    </row>
    <row r="425" spans="1:12" ht="16.5" customHeight="1">
      <c r="A425" s="1"/>
      <c r="B425" s="1" t="s">
        <v>4</v>
      </c>
      <c r="C425" s="205" t="s">
        <v>147</v>
      </c>
      <c r="D425" s="25" t="s">
        <v>19</v>
      </c>
      <c r="E425" s="201" t="s">
        <v>20</v>
      </c>
      <c r="F425" s="2" t="s">
        <v>21</v>
      </c>
      <c r="G425" s="197" t="str">
        <f t="shared" si="6"/>
        <v>1,3mc</v>
      </c>
      <c r="H425" s="198">
        <v>47471855</v>
      </c>
      <c r="I425" s="197" t="s">
        <v>0</v>
      </c>
      <c r="J425" s="198" t="s">
        <v>0</v>
      </c>
      <c r="K425" s="197" t="str">
        <f t="shared" si="7"/>
        <v>1,3mc</v>
      </c>
      <c r="L425" s="198">
        <v>47471855</v>
      </c>
    </row>
    <row r="426" spans="1:12" ht="16.5" customHeight="1">
      <c r="A426" s="1"/>
      <c r="B426" s="1" t="s">
        <v>4</v>
      </c>
      <c r="C426" s="205" t="s">
        <v>147</v>
      </c>
      <c r="D426" s="25" t="s">
        <v>19</v>
      </c>
      <c r="E426" s="201" t="s">
        <v>18</v>
      </c>
      <c r="F426" s="2" t="s">
        <v>21</v>
      </c>
      <c r="G426" s="197" t="str">
        <f t="shared" si="6"/>
        <v>1,8mc</v>
      </c>
      <c r="H426" s="198">
        <v>47471856</v>
      </c>
      <c r="I426" s="197" t="s">
        <v>0</v>
      </c>
      <c r="J426" s="198" t="s">
        <v>0</v>
      </c>
      <c r="K426" s="197" t="str">
        <f t="shared" si="7"/>
        <v>1,8mc</v>
      </c>
      <c r="L426" s="198">
        <v>47471856</v>
      </c>
    </row>
    <row r="427" spans="1:12" ht="16.5" customHeight="1">
      <c r="A427" s="1"/>
      <c r="B427" s="1" t="s">
        <v>4</v>
      </c>
      <c r="C427" s="205" t="s">
        <v>147</v>
      </c>
      <c r="D427" s="8" t="s">
        <v>3</v>
      </c>
      <c r="E427" s="200" t="s">
        <v>22</v>
      </c>
      <c r="F427" s="2" t="s">
        <v>21</v>
      </c>
      <c r="G427" s="197" t="str">
        <f t="shared" si="6"/>
        <v>1,1 mc</v>
      </c>
      <c r="H427" s="198">
        <v>47471857</v>
      </c>
      <c r="I427" s="197" t="s">
        <v>0</v>
      </c>
      <c r="J427" s="198" t="s">
        <v>0</v>
      </c>
      <c r="K427" s="197" t="str">
        <f t="shared" si="7"/>
        <v>1,1 mc</v>
      </c>
      <c r="L427" s="198">
        <v>47471857</v>
      </c>
    </row>
    <row r="428" spans="1:12" ht="16.5" customHeight="1">
      <c r="A428" s="1"/>
      <c r="B428" s="1" t="s">
        <v>4</v>
      </c>
      <c r="C428" s="205" t="s">
        <v>147</v>
      </c>
      <c r="D428" s="8" t="s">
        <v>3</v>
      </c>
      <c r="E428" s="200" t="s">
        <v>17</v>
      </c>
      <c r="F428" s="2" t="s">
        <v>21</v>
      </c>
      <c r="G428" s="197" t="str">
        <f t="shared" si="6"/>
        <v>1,3 mc</v>
      </c>
      <c r="H428" s="198">
        <v>47471858</v>
      </c>
      <c r="I428" s="197" t="s">
        <v>0</v>
      </c>
      <c r="J428" s="198" t="s">
        <v>0</v>
      </c>
      <c r="K428" s="197" t="str">
        <f t="shared" si="7"/>
        <v>1,3 mc</v>
      </c>
      <c r="L428" s="198">
        <v>47471858</v>
      </c>
    </row>
    <row r="429" spans="1:12" ht="16.5" customHeight="1">
      <c r="A429" s="1"/>
      <c r="B429" s="1" t="s">
        <v>4</v>
      </c>
      <c r="C429" s="205" t="s">
        <v>147</v>
      </c>
      <c r="D429" s="25" t="s">
        <v>3</v>
      </c>
      <c r="E429" s="201" t="s">
        <v>6</v>
      </c>
      <c r="F429" s="2" t="s">
        <v>21</v>
      </c>
      <c r="G429" s="197" t="str">
        <f t="shared" si="6"/>
        <v>1,8 mc</v>
      </c>
      <c r="H429" s="198">
        <v>47471859</v>
      </c>
      <c r="I429" s="197" t="s">
        <v>0</v>
      </c>
      <c r="J429" s="198" t="s">
        <v>0</v>
      </c>
      <c r="K429" s="197" t="str">
        <f t="shared" si="7"/>
        <v>1,8 mc</v>
      </c>
      <c r="L429" s="198">
        <v>47471859</v>
      </c>
    </row>
    <row r="430" spans="1:12" ht="16.5" customHeight="1">
      <c r="A430" s="1"/>
      <c r="B430" s="196" t="s">
        <v>4</v>
      </c>
      <c r="C430" s="8" t="s">
        <v>13</v>
      </c>
      <c r="D430" s="8" t="s">
        <v>19</v>
      </c>
      <c r="E430" s="7">
        <v>5</v>
      </c>
      <c r="F430" s="15" t="s">
        <v>16</v>
      </c>
      <c r="G430" s="197">
        <f t="shared" si="6"/>
        <v>5</v>
      </c>
      <c r="H430" s="14">
        <v>47498801</v>
      </c>
      <c r="I430" s="14" t="s">
        <v>0</v>
      </c>
      <c r="J430" s="14" t="s">
        <v>0</v>
      </c>
      <c r="K430" s="197">
        <f>$E430</f>
        <v>5</v>
      </c>
      <c r="L430" s="14">
        <v>47498801</v>
      </c>
    </row>
    <row r="431" spans="1:12" ht="16.5" customHeight="1">
      <c r="A431" s="1"/>
      <c r="B431" s="1" t="s">
        <v>11</v>
      </c>
      <c r="C431" s="6" t="s">
        <v>13</v>
      </c>
      <c r="D431" s="6" t="s">
        <v>19</v>
      </c>
      <c r="E431" s="5">
        <v>5</v>
      </c>
      <c r="F431" s="12" t="s">
        <v>16</v>
      </c>
      <c r="G431" s="13">
        <v>1235</v>
      </c>
      <c r="H431" s="9">
        <v>47498801</v>
      </c>
      <c r="I431" s="9" t="s">
        <v>0</v>
      </c>
      <c r="J431" s="9" t="s">
        <v>0</v>
      </c>
      <c r="K431" s="13">
        <v>990</v>
      </c>
      <c r="L431" s="9">
        <v>47498801</v>
      </c>
    </row>
    <row r="432" spans="1:12" ht="16.5" customHeight="1">
      <c r="A432" s="1"/>
      <c r="B432" s="1" t="s">
        <v>10</v>
      </c>
      <c r="C432" s="6" t="s">
        <v>13</v>
      </c>
      <c r="D432" s="6" t="s">
        <v>19</v>
      </c>
      <c r="E432" s="5">
        <v>5</v>
      </c>
      <c r="F432" s="12" t="s">
        <v>16</v>
      </c>
      <c r="G432" s="13">
        <v>3000</v>
      </c>
      <c r="H432" s="9">
        <v>47498801</v>
      </c>
      <c r="I432" s="13" t="s">
        <v>0</v>
      </c>
      <c r="J432" s="9" t="s">
        <v>0</v>
      </c>
      <c r="K432" s="13">
        <v>3000</v>
      </c>
      <c r="L432" s="9">
        <v>47498801</v>
      </c>
    </row>
    <row r="433" spans="1:12" ht="16.5" customHeight="1">
      <c r="A433" s="1"/>
      <c r="B433" s="1" t="s">
        <v>9</v>
      </c>
      <c r="C433" s="6" t="s">
        <v>13</v>
      </c>
      <c r="D433" s="6" t="s">
        <v>19</v>
      </c>
      <c r="E433" s="5">
        <v>5</v>
      </c>
      <c r="F433" s="12" t="s">
        <v>16</v>
      </c>
      <c r="G433" s="13">
        <v>2185</v>
      </c>
      <c r="H433" s="9">
        <v>47498801</v>
      </c>
      <c r="I433" s="13" t="s">
        <v>0</v>
      </c>
      <c r="J433" s="9" t="s">
        <v>0</v>
      </c>
      <c r="K433" s="13">
        <v>2185</v>
      </c>
      <c r="L433" s="9">
        <v>47498801</v>
      </c>
    </row>
    <row r="434" spans="1:12" ht="16.5" customHeight="1">
      <c r="A434" s="1"/>
      <c r="B434" s="1" t="s">
        <v>8</v>
      </c>
      <c r="C434" s="6" t="s">
        <v>13</v>
      </c>
      <c r="D434" s="6" t="s">
        <v>19</v>
      </c>
      <c r="E434" s="5">
        <v>5</v>
      </c>
      <c r="F434" s="12" t="s">
        <v>16</v>
      </c>
      <c r="G434" s="13">
        <v>2689</v>
      </c>
      <c r="H434" s="9">
        <v>47498801</v>
      </c>
      <c r="I434" s="9" t="s">
        <v>0</v>
      </c>
      <c r="J434" s="9" t="s">
        <v>0</v>
      </c>
      <c r="K434" s="13">
        <v>3130</v>
      </c>
      <c r="L434" s="9">
        <v>47498801</v>
      </c>
    </row>
    <row r="435" spans="1:12" ht="16.5" customHeight="1">
      <c r="A435" s="1"/>
      <c r="B435" s="23" t="s">
        <v>7</v>
      </c>
      <c r="C435" s="4" t="s">
        <v>13</v>
      </c>
      <c r="D435" s="4" t="s">
        <v>19</v>
      </c>
      <c r="E435" s="3">
        <v>5</v>
      </c>
      <c r="F435" s="12" t="s">
        <v>16</v>
      </c>
      <c r="G435" s="10">
        <v>1531</v>
      </c>
      <c r="H435" s="9">
        <v>47498801</v>
      </c>
      <c r="I435" s="11" t="s">
        <v>0</v>
      </c>
      <c r="J435" s="9" t="s">
        <v>0</v>
      </c>
      <c r="K435" s="10">
        <v>1643</v>
      </c>
      <c r="L435" s="9">
        <v>47498801</v>
      </c>
    </row>
    <row r="436" spans="1:12" ht="16.5" customHeight="1">
      <c r="A436" s="1"/>
      <c r="B436" s="196" t="s">
        <v>4</v>
      </c>
      <c r="C436" s="8" t="s">
        <v>13</v>
      </c>
      <c r="D436" s="8" t="s">
        <v>19</v>
      </c>
      <c r="E436" s="7">
        <v>6</v>
      </c>
      <c r="F436" s="15" t="s">
        <v>16</v>
      </c>
      <c r="G436" s="197">
        <f>$E436</f>
        <v>6</v>
      </c>
      <c r="H436" s="14">
        <v>47498802</v>
      </c>
      <c r="I436" s="14" t="s">
        <v>0</v>
      </c>
      <c r="J436" s="14" t="s">
        <v>0</v>
      </c>
      <c r="K436" s="197">
        <f>$E436</f>
        <v>6</v>
      </c>
      <c r="L436" s="14">
        <v>47498802</v>
      </c>
    </row>
    <row r="437" spans="1:12" ht="16.5" customHeight="1">
      <c r="A437" s="1"/>
      <c r="B437" s="1" t="s">
        <v>11</v>
      </c>
      <c r="C437" s="6" t="s">
        <v>13</v>
      </c>
      <c r="D437" s="6" t="s">
        <v>19</v>
      </c>
      <c r="E437" s="5">
        <v>6</v>
      </c>
      <c r="F437" s="12" t="s">
        <v>16</v>
      </c>
      <c r="G437" s="13">
        <v>920</v>
      </c>
      <c r="H437" s="9">
        <v>47498802</v>
      </c>
      <c r="I437" s="9" t="s">
        <v>0</v>
      </c>
      <c r="J437" s="9" t="s">
        <v>0</v>
      </c>
      <c r="K437" s="13">
        <v>730</v>
      </c>
      <c r="L437" s="9">
        <v>47498802</v>
      </c>
    </row>
    <row r="438" spans="1:12" ht="16.5" customHeight="1">
      <c r="A438" s="1"/>
      <c r="B438" s="1" t="s">
        <v>10</v>
      </c>
      <c r="C438" s="6" t="s">
        <v>13</v>
      </c>
      <c r="D438" s="6" t="s">
        <v>19</v>
      </c>
      <c r="E438" s="5">
        <v>6</v>
      </c>
      <c r="F438" s="12" t="s">
        <v>16</v>
      </c>
      <c r="G438" s="13">
        <v>3200</v>
      </c>
      <c r="H438" s="9">
        <v>47498802</v>
      </c>
      <c r="I438" s="13" t="s">
        <v>0</v>
      </c>
      <c r="J438" s="9" t="s">
        <v>0</v>
      </c>
      <c r="K438" s="13">
        <v>3200</v>
      </c>
      <c r="L438" s="9">
        <v>47498802</v>
      </c>
    </row>
    <row r="439" spans="1:12" ht="16.5" customHeight="1">
      <c r="A439" s="1"/>
      <c r="B439" s="1" t="s">
        <v>9</v>
      </c>
      <c r="C439" s="6" t="s">
        <v>13</v>
      </c>
      <c r="D439" s="6" t="s">
        <v>19</v>
      </c>
      <c r="E439" s="5">
        <v>6</v>
      </c>
      <c r="F439" s="12" t="s">
        <v>16</v>
      </c>
      <c r="G439" s="13">
        <v>2890</v>
      </c>
      <c r="H439" s="9">
        <v>47498802</v>
      </c>
      <c r="I439" s="13" t="s">
        <v>0</v>
      </c>
      <c r="J439" s="9" t="s">
        <v>0</v>
      </c>
      <c r="K439" s="13">
        <v>2890</v>
      </c>
      <c r="L439" s="9">
        <v>47498802</v>
      </c>
    </row>
    <row r="440" spans="1:12" ht="16.5" customHeight="1">
      <c r="A440" s="1"/>
      <c r="B440" s="1" t="s">
        <v>8</v>
      </c>
      <c r="C440" s="6" t="s">
        <v>13</v>
      </c>
      <c r="D440" s="6" t="s">
        <v>19</v>
      </c>
      <c r="E440" s="5">
        <v>6</v>
      </c>
      <c r="F440" s="12" t="s">
        <v>16</v>
      </c>
      <c r="G440" s="13">
        <v>2486</v>
      </c>
      <c r="H440" s="9">
        <v>47498802</v>
      </c>
      <c r="I440" s="9" t="s">
        <v>0</v>
      </c>
      <c r="J440" s="9" t="s">
        <v>0</v>
      </c>
      <c r="K440" s="13">
        <v>2927</v>
      </c>
      <c r="L440" s="9">
        <v>47498802</v>
      </c>
    </row>
    <row r="441" spans="1:12" ht="16.5" customHeight="1">
      <c r="A441" s="1"/>
      <c r="B441" s="23" t="s">
        <v>7</v>
      </c>
      <c r="C441" s="4" t="s">
        <v>13</v>
      </c>
      <c r="D441" s="4" t="s">
        <v>19</v>
      </c>
      <c r="E441" s="3">
        <v>6</v>
      </c>
      <c r="F441" s="12" t="s">
        <v>16</v>
      </c>
      <c r="G441" s="10">
        <v>1449</v>
      </c>
      <c r="H441" s="9">
        <v>47498802</v>
      </c>
      <c r="I441" s="11" t="s">
        <v>0</v>
      </c>
      <c r="J441" s="9" t="s">
        <v>0</v>
      </c>
      <c r="K441" s="10">
        <v>1562</v>
      </c>
      <c r="L441" s="9">
        <v>47498802</v>
      </c>
    </row>
    <row r="442" spans="1:12" ht="16.5" customHeight="1">
      <c r="A442" s="1"/>
      <c r="B442" s="196" t="s">
        <v>4</v>
      </c>
      <c r="C442" s="8" t="s">
        <v>13</v>
      </c>
      <c r="D442" s="8" t="s">
        <v>19</v>
      </c>
      <c r="E442" s="7">
        <v>7.5</v>
      </c>
      <c r="F442" s="15" t="s">
        <v>16</v>
      </c>
      <c r="G442" s="197">
        <f>$E442</f>
        <v>7.5</v>
      </c>
      <c r="H442" s="14">
        <v>47498803</v>
      </c>
      <c r="I442" s="14" t="s">
        <v>0</v>
      </c>
      <c r="J442" s="14" t="s">
        <v>0</v>
      </c>
      <c r="K442" s="197">
        <f>$E442</f>
        <v>7.5</v>
      </c>
      <c r="L442" s="14">
        <v>47498803</v>
      </c>
    </row>
    <row r="443" spans="1:12" ht="16.5" customHeight="1">
      <c r="A443" s="1"/>
      <c r="B443" s="1" t="s">
        <v>11</v>
      </c>
      <c r="C443" s="6" t="s">
        <v>13</v>
      </c>
      <c r="D443" s="6" t="s">
        <v>19</v>
      </c>
      <c r="E443" s="5">
        <v>7.5</v>
      </c>
      <c r="F443" s="12" t="s">
        <v>16</v>
      </c>
      <c r="G443" s="13">
        <v>750</v>
      </c>
      <c r="H443" s="9">
        <v>47498803</v>
      </c>
      <c r="I443" s="9" t="s">
        <v>0</v>
      </c>
      <c r="J443" s="9" t="s">
        <v>0</v>
      </c>
      <c r="K443" s="13">
        <v>575</v>
      </c>
      <c r="L443" s="9">
        <v>47498803</v>
      </c>
    </row>
    <row r="444" spans="1:12" ht="16.5" customHeight="1">
      <c r="A444" s="1"/>
      <c r="B444" s="1" t="s">
        <v>10</v>
      </c>
      <c r="C444" s="6" t="s">
        <v>13</v>
      </c>
      <c r="D444" s="6" t="s">
        <v>19</v>
      </c>
      <c r="E444" s="5">
        <v>7.5</v>
      </c>
      <c r="F444" s="12" t="s">
        <v>16</v>
      </c>
      <c r="G444" s="13">
        <v>3200</v>
      </c>
      <c r="H444" s="9">
        <v>47498803</v>
      </c>
      <c r="I444" s="13" t="s">
        <v>0</v>
      </c>
      <c r="J444" s="9" t="s">
        <v>0</v>
      </c>
      <c r="K444" s="13">
        <v>3200</v>
      </c>
      <c r="L444" s="9">
        <v>47498803</v>
      </c>
    </row>
    <row r="445" spans="1:12" ht="16.5" customHeight="1">
      <c r="A445" s="1"/>
      <c r="B445" s="1" t="s">
        <v>9</v>
      </c>
      <c r="C445" s="6" t="s">
        <v>13</v>
      </c>
      <c r="D445" s="6" t="s">
        <v>19</v>
      </c>
      <c r="E445" s="5">
        <v>7.5</v>
      </c>
      <c r="F445" s="12" t="s">
        <v>16</v>
      </c>
      <c r="G445" s="13">
        <v>3310</v>
      </c>
      <c r="H445" s="9">
        <v>47498803</v>
      </c>
      <c r="I445" s="13" t="s">
        <v>0</v>
      </c>
      <c r="J445" s="9" t="s">
        <v>0</v>
      </c>
      <c r="K445" s="13">
        <v>3310</v>
      </c>
      <c r="L445" s="9">
        <v>47498803</v>
      </c>
    </row>
    <row r="446" spans="1:12" ht="16.5" customHeight="1">
      <c r="A446" s="1"/>
      <c r="B446" s="1" t="s">
        <v>8</v>
      </c>
      <c r="C446" s="6" t="s">
        <v>13</v>
      </c>
      <c r="D446" s="6" t="s">
        <v>19</v>
      </c>
      <c r="E446" s="5">
        <v>7.5</v>
      </c>
      <c r="F446" s="12" t="s">
        <v>16</v>
      </c>
      <c r="G446" s="13">
        <v>2437</v>
      </c>
      <c r="H446" s="9">
        <v>47498803</v>
      </c>
      <c r="I446" s="9" t="s">
        <v>0</v>
      </c>
      <c r="J446" s="9" t="s">
        <v>0</v>
      </c>
      <c r="K446" s="13">
        <v>2879</v>
      </c>
      <c r="L446" s="9">
        <v>47498803</v>
      </c>
    </row>
    <row r="447" spans="1:12" ht="16.5" customHeight="1">
      <c r="A447" s="1"/>
      <c r="B447" s="23" t="s">
        <v>7</v>
      </c>
      <c r="C447" s="4" t="s">
        <v>13</v>
      </c>
      <c r="D447" s="4" t="s">
        <v>19</v>
      </c>
      <c r="E447" s="3">
        <v>7.5</v>
      </c>
      <c r="F447" s="12" t="s">
        <v>16</v>
      </c>
      <c r="G447" s="10">
        <v>1622</v>
      </c>
      <c r="H447" s="9">
        <v>47498803</v>
      </c>
      <c r="I447" s="11" t="s">
        <v>0</v>
      </c>
      <c r="J447" s="9" t="s">
        <v>0</v>
      </c>
      <c r="K447" s="10">
        <v>1735</v>
      </c>
      <c r="L447" s="9">
        <v>47498803</v>
      </c>
    </row>
    <row r="448" spans="1:12" ht="16.5" customHeight="1">
      <c r="A448" s="1"/>
      <c r="B448" s="196" t="s">
        <v>4</v>
      </c>
      <c r="C448" s="8" t="s">
        <v>13</v>
      </c>
      <c r="D448" s="8" t="s">
        <v>3</v>
      </c>
      <c r="E448" s="7">
        <v>5</v>
      </c>
      <c r="F448" s="15" t="s">
        <v>16</v>
      </c>
      <c r="G448" s="197">
        <f>$E448</f>
        <v>5</v>
      </c>
      <c r="H448" s="14">
        <v>47498804</v>
      </c>
      <c r="I448" s="14" t="s">
        <v>0</v>
      </c>
      <c r="J448" s="14" t="s">
        <v>0</v>
      </c>
      <c r="K448" s="197">
        <f>$E448</f>
        <v>5</v>
      </c>
      <c r="L448" s="14">
        <v>47498804</v>
      </c>
    </row>
    <row r="449" spans="1:12" ht="16.5" customHeight="1">
      <c r="A449" s="1"/>
      <c r="B449" s="1" t="s">
        <v>11</v>
      </c>
      <c r="C449" s="6" t="s">
        <v>13</v>
      </c>
      <c r="D449" s="6" t="s">
        <v>3</v>
      </c>
      <c r="E449" s="5">
        <v>5</v>
      </c>
      <c r="F449" s="12" t="s">
        <v>16</v>
      </c>
      <c r="G449" s="13">
        <v>1320</v>
      </c>
      <c r="H449" s="9">
        <v>47498804</v>
      </c>
      <c r="I449" s="9" t="s">
        <v>0</v>
      </c>
      <c r="J449" s="9" t="s">
        <v>0</v>
      </c>
      <c r="K449" s="13">
        <v>1060</v>
      </c>
      <c r="L449" s="9">
        <v>47498804</v>
      </c>
    </row>
    <row r="450" spans="1:12" ht="16.5" customHeight="1">
      <c r="A450" s="1"/>
      <c r="B450" s="1" t="s">
        <v>10</v>
      </c>
      <c r="C450" s="6" t="s">
        <v>13</v>
      </c>
      <c r="D450" s="6" t="s">
        <v>3</v>
      </c>
      <c r="E450" s="5">
        <v>5</v>
      </c>
      <c r="F450" s="12" t="s">
        <v>16</v>
      </c>
      <c r="G450" s="13">
        <v>3000</v>
      </c>
      <c r="H450" s="9">
        <v>47498804</v>
      </c>
      <c r="I450" s="13" t="s">
        <v>0</v>
      </c>
      <c r="J450" s="9" t="s">
        <v>0</v>
      </c>
      <c r="K450" s="13">
        <v>3000</v>
      </c>
      <c r="L450" s="9">
        <v>47498804</v>
      </c>
    </row>
    <row r="451" spans="1:12" ht="16.5" customHeight="1">
      <c r="A451" s="1"/>
      <c r="B451" s="1" t="s">
        <v>9</v>
      </c>
      <c r="C451" s="6" t="s">
        <v>13</v>
      </c>
      <c r="D451" s="6" t="s">
        <v>3</v>
      </c>
      <c r="E451" s="5">
        <v>5</v>
      </c>
      <c r="F451" s="12" t="s">
        <v>16</v>
      </c>
      <c r="G451" s="13">
        <v>1765</v>
      </c>
      <c r="H451" s="9">
        <v>47498804</v>
      </c>
      <c r="I451" s="13" t="s">
        <v>0</v>
      </c>
      <c r="J451" s="9" t="s">
        <v>0</v>
      </c>
      <c r="K451" s="13">
        <v>1765</v>
      </c>
      <c r="L451" s="9">
        <v>47498804</v>
      </c>
    </row>
    <row r="452" spans="1:12" ht="16.5" customHeight="1">
      <c r="A452" s="1"/>
      <c r="B452" s="1" t="s">
        <v>8</v>
      </c>
      <c r="C452" s="6" t="s">
        <v>13</v>
      </c>
      <c r="D452" s="6" t="s">
        <v>3</v>
      </c>
      <c r="E452" s="5">
        <v>5</v>
      </c>
      <c r="F452" s="12" t="s">
        <v>16</v>
      </c>
      <c r="G452" s="13">
        <v>2812</v>
      </c>
      <c r="H452" s="9">
        <v>47498804</v>
      </c>
      <c r="I452" s="9" t="s">
        <v>0</v>
      </c>
      <c r="J452" s="9" t="s">
        <v>0</v>
      </c>
      <c r="K452" s="13">
        <v>3253</v>
      </c>
      <c r="L452" s="9">
        <v>47498804</v>
      </c>
    </row>
    <row r="453" spans="1:12" ht="16.5" customHeight="1">
      <c r="A453" s="1"/>
      <c r="B453" s="23" t="s">
        <v>7</v>
      </c>
      <c r="C453" s="4" t="s">
        <v>13</v>
      </c>
      <c r="D453" s="4" t="s">
        <v>3</v>
      </c>
      <c r="E453" s="3">
        <v>5</v>
      </c>
      <c r="F453" s="12" t="s">
        <v>16</v>
      </c>
      <c r="G453" s="10">
        <v>1385</v>
      </c>
      <c r="H453" s="9">
        <v>47498804</v>
      </c>
      <c r="I453" s="11" t="s">
        <v>0</v>
      </c>
      <c r="J453" s="9" t="s">
        <v>0</v>
      </c>
      <c r="K453" s="10">
        <v>1498</v>
      </c>
      <c r="L453" s="9">
        <v>47498804</v>
      </c>
    </row>
    <row r="454" spans="1:12" ht="16.5" customHeight="1">
      <c r="A454" s="1"/>
      <c r="B454" s="196" t="s">
        <v>4</v>
      </c>
      <c r="C454" s="8" t="s">
        <v>13</v>
      </c>
      <c r="D454" s="8" t="s">
        <v>3</v>
      </c>
      <c r="E454" s="7">
        <v>6</v>
      </c>
      <c r="F454" s="15" t="s">
        <v>16</v>
      </c>
      <c r="G454" s="197">
        <f>$E454</f>
        <v>6</v>
      </c>
      <c r="H454" s="14">
        <v>47498805</v>
      </c>
      <c r="I454" s="14" t="s">
        <v>0</v>
      </c>
      <c r="J454" s="14" t="s">
        <v>0</v>
      </c>
      <c r="K454" s="197">
        <f>$E454</f>
        <v>6</v>
      </c>
      <c r="L454" s="14">
        <v>47498805</v>
      </c>
    </row>
    <row r="455" spans="1:12" ht="16.5" customHeight="1">
      <c r="A455" s="1"/>
      <c r="B455" s="1" t="s">
        <v>11</v>
      </c>
      <c r="C455" s="6" t="s">
        <v>13</v>
      </c>
      <c r="D455" s="6" t="s">
        <v>3</v>
      </c>
      <c r="E455" s="5">
        <v>6</v>
      </c>
      <c r="F455" s="12" t="s">
        <v>16</v>
      </c>
      <c r="G455" s="13">
        <v>985</v>
      </c>
      <c r="H455" s="9">
        <v>47498805</v>
      </c>
      <c r="I455" s="9" t="s">
        <v>0</v>
      </c>
      <c r="J455" s="9" t="s">
        <v>0</v>
      </c>
      <c r="K455" s="13">
        <v>785</v>
      </c>
      <c r="L455" s="9">
        <v>47498805</v>
      </c>
    </row>
    <row r="456" spans="1:12" ht="16.5" customHeight="1">
      <c r="A456" s="1"/>
      <c r="B456" s="1" t="s">
        <v>10</v>
      </c>
      <c r="C456" s="6" t="s">
        <v>13</v>
      </c>
      <c r="D456" s="6" t="s">
        <v>3</v>
      </c>
      <c r="E456" s="5">
        <v>6</v>
      </c>
      <c r="F456" s="12" t="s">
        <v>16</v>
      </c>
      <c r="G456" s="13">
        <v>3200</v>
      </c>
      <c r="H456" s="9">
        <v>47498805</v>
      </c>
      <c r="I456" s="13" t="s">
        <v>0</v>
      </c>
      <c r="J456" s="9" t="s">
        <v>0</v>
      </c>
      <c r="K456" s="13">
        <v>3200</v>
      </c>
      <c r="L456" s="9">
        <v>47498805</v>
      </c>
    </row>
    <row r="457" spans="1:12" ht="16.5" customHeight="1">
      <c r="A457" s="1"/>
      <c r="B457" s="1" t="s">
        <v>9</v>
      </c>
      <c r="C457" s="6" t="s">
        <v>13</v>
      </c>
      <c r="D457" s="6" t="s">
        <v>3</v>
      </c>
      <c r="E457" s="5">
        <v>6</v>
      </c>
      <c r="F457" s="12" t="s">
        <v>16</v>
      </c>
      <c r="G457" s="13">
        <v>2470</v>
      </c>
      <c r="H457" s="9">
        <v>47498805</v>
      </c>
      <c r="I457" s="13" t="s">
        <v>0</v>
      </c>
      <c r="J457" s="9" t="s">
        <v>0</v>
      </c>
      <c r="K457" s="13">
        <v>2470</v>
      </c>
      <c r="L457" s="9">
        <v>47498805</v>
      </c>
    </row>
    <row r="458" spans="1:12" ht="16.5" customHeight="1">
      <c r="A458" s="1"/>
      <c r="B458" s="1" t="s">
        <v>8</v>
      </c>
      <c r="C458" s="6" t="s">
        <v>13</v>
      </c>
      <c r="D458" s="6" t="s">
        <v>3</v>
      </c>
      <c r="E458" s="5">
        <v>6</v>
      </c>
      <c r="F458" s="12" t="s">
        <v>16</v>
      </c>
      <c r="G458" s="13">
        <v>2609</v>
      </c>
      <c r="H458" s="9">
        <v>47498805</v>
      </c>
      <c r="I458" s="9" t="s">
        <v>0</v>
      </c>
      <c r="J458" s="9" t="s">
        <v>0</v>
      </c>
      <c r="K458" s="13">
        <v>3050</v>
      </c>
      <c r="L458" s="9">
        <v>47498805</v>
      </c>
    </row>
    <row r="459" spans="1:12" ht="16.5" customHeight="1">
      <c r="A459" s="1"/>
      <c r="B459" s="23" t="s">
        <v>7</v>
      </c>
      <c r="C459" s="4" t="s">
        <v>13</v>
      </c>
      <c r="D459" s="4" t="s">
        <v>3</v>
      </c>
      <c r="E459" s="3">
        <v>6</v>
      </c>
      <c r="F459" s="12" t="s">
        <v>16</v>
      </c>
      <c r="G459" s="10">
        <v>1304</v>
      </c>
      <c r="H459" s="9">
        <v>47498805</v>
      </c>
      <c r="I459" s="11" t="s">
        <v>0</v>
      </c>
      <c r="J459" s="9" t="s">
        <v>0</v>
      </c>
      <c r="K459" s="10">
        <v>1416</v>
      </c>
      <c r="L459" s="9">
        <v>47498805</v>
      </c>
    </row>
    <row r="460" spans="1:12" ht="16.5" customHeight="1">
      <c r="A460" s="1"/>
      <c r="B460" s="196" t="s">
        <v>4</v>
      </c>
      <c r="C460" s="8" t="s">
        <v>13</v>
      </c>
      <c r="D460" s="8" t="s">
        <v>3</v>
      </c>
      <c r="E460" s="7">
        <v>7.5</v>
      </c>
      <c r="F460" s="15" t="s">
        <v>16</v>
      </c>
      <c r="G460" s="197">
        <f>$E460</f>
        <v>7.5</v>
      </c>
      <c r="H460" s="14">
        <v>47498806</v>
      </c>
      <c r="I460" s="14" t="s">
        <v>0</v>
      </c>
      <c r="J460" s="14" t="s">
        <v>0</v>
      </c>
      <c r="K460" s="197">
        <f>$E460</f>
        <v>7.5</v>
      </c>
      <c r="L460" s="14">
        <v>47498806</v>
      </c>
    </row>
    <row r="461" spans="1:12" ht="16.5" customHeight="1">
      <c r="A461" s="1"/>
      <c r="B461" s="1" t="s">
        <v>11</v>
      </c>
      <c r="C461" s="6" t="s">
        <v>13</v>
      </c>
      <c r="D461" s="6" t="s">
        <v>3</v>
      </c>
      <c r="E461" s="5">
        <v>7.5</v>
      </c>
      <c r="F461" s="12" t="s">
        <v>16</v>
      </c>
      <c r="G461" s="13">
        <v>805</v>
      </c>
      <c r="H461" s="9">
        <v>47498806</v>
      </c>
      <c r="I461" s="9" t="s">
        <v>0</v>
      </c>
      <c r="J461" s="9" t="s">
        <v>0</v>
      </c>
      <c r="K461" s="13">
        <v>630</v>
      </c>
      <c r="L461" s="9">
        <v>47498806</v>
      </c>
    </row>
    <row r="462" spans="1:12" ht="16.5" customHeight="1">
      <c r="A462" s="1"/>
      <c r="B462" s="1" t="s">
        <v>10</v>
      </c>
      <c r="C462" s="6" t="s">
        <v>13</v>
      </c>
      <c r="D462" s="6" t="s">
        <v>3</v>
      </c>
      <c r="E462" s="5">
        <v>7.5</v>
      </c>
      <c r="F462" s="12" t="s">
        <v>16</v>
      </c>
      <c r="G462" s="13">
        <v>3200</v>
      </c>
      <c r="H462" s="9">
        <v>47498806</v>
      </c>
      <c r="I462" s="13" t="s">
        <v>0</v>
      </c>
      <c r="J462" s="9" t="s">
        <v>0</v>
      </c>
      <c r="K462" s="13">
        <v>3200</v>
      </c>
      <c r="L462" s="9">
        <v>47498806</v>
      </c>
    </row>
    <row r="463" spans="1:12" ht="16.5" customHeight="1">
      <c r="A463" s="1"/>
      <c r="B463" s="1" t="s">
        <v>9</v>
      </c>
      <c r="C463" s="6" t="s">
        <v>13</v>
      </c>
      <c r="D463" s="6" t="s">
        <v>3</v>
      </c>
      <c r="E463" s="5">
        <v>7.5</v>
      </c>
      <c r="F463" s="12" t="s">
        <v>16</v>
      </c>
      <c r="G463" s="13">
        <v>2890</v>
      </c>
      <c r="H463" s="9">
        <v>47498806</v>
      </c>
      <c r="I463" s="13" t="s">
        <v>0</v>
      </c>
      <c r="J463" s="9" t="s">
        <v>0</v>
      </c>
      <c r="K463" s="13">
        <v>2890</v>
      </c>
      <c r="L463" s="9">
        <v>47498806</v>
      </c>
    </row>
    <row r="464" spans="1:12" ht="16.5" customHeight="1">
      <c r="A464" s="1"/>
      <c r="B464" s="1" t="s">
        <v>8</v>
      </c>
      <c r="C464" s="6" t="s">
        <v>13</v>
      </c>
      <c r="D464" s="6" t="s">
        <v>3</v>
      </c>
      <c r="E464" s="5">
        <v>7.5</v>
      </c>
      <c r="F464" s="12" t="s">
        <v>16</v>
      </c>
      <c r="G464" s="13">
        <v>2560</v>
      </c>
      <c r="H464" s="9">
        <v>47498806</v>
      </c>
      <c r="I464" s="9" t="s">
        <v>0</v>
      </c>
      <c r="J464" s="9" t="s">
        <v>0</v>
      </c>
      <c r="K464" s="13">
        <v>3002</v>
      </c>
      <c r="L464" s="9">
        <v>47498806</v>
      </c>
    </row>
    <row r="465" spans="1:12" ht="16.5" customHeight="1">
      <c r="A465" s="1"/>
      <c r="B465" s="23" t="s">
        <v>7</v>
      </c>
      <c r="C465" s="4" t="s">
        <v>13</v>
      </c>
      <c r="D465" s="4" t="s">
        <v>3</v>
      </c>
      <c r="E465" s="3">
        <v>7.5</v>
      </c>
      <c r="F465" s="12" t="s">
        <v>16</v>
      </c>
      <c r="G465" s="10">
        <v>1477</v>
      </c>
      <c r="H465" s="9">
        <v>47498806</v>
      </c>
      <c r="I465" s="11" t="s">
        <v>0</v>
      </c>
      <c r="J465" s="9" t="s">
        <v>0</v>
      </c>
      <c r="K465" s="10">
        <v>1589</v>
      </c>
      <c r="L465" s="9">
        <v>47498806</v>
      </c>
    </row>
    <row r="466" spans="1:12" ht="16.5" customHeight="1">
      <c r="A466" s="1"/>
      <c r="B466" s="196" t="s">
        <v>4</v>
      </c>
      <c r="C466" s="8" t="s">
        <v>13</v>
      </c>
      <c r="D466" s="8" t="s">
        <v>3</v>
      </c>
      <c r="E466" s="7">
        <v>9</v>
      </c>
      <c r="F466" s="15" t="s">
        <v>16</v>
      </c>
      <c r="G466" s="197">
        <f>$E466</f>
        <v>9</v>
      </c>
      <c r="H466" s="14">
        <v>47498807</v>
      </c>
      <c r="I466" s="14" t="s">
        <v>0</v>
      </c>
      <c r="J466" s="14" t="s">
        <v>0</v>
      </c>
      <c r="K466" s="197">
        <f>$E466</f>
        <v>9</v>
      </c>
      <c r="L466" s="14">
        <v>47498807</v>
      </c>
    </row>
    <row r="467" spans="1:12" ht="16.5" customHeight="1">
      <c r="A467" s="1"/>
      <c r="B467" s="1" t="s">
        <v>11</v>
      </c>
      <c r="C467" s="6" t="s">
        <v>13</v>
      </c>
      <c r="D467" s="6" t="s">
        <v>3</v>
      </c>
      <c r="E467" s="5">
        <v>9</v>
      </c>
      <c r="F467" s="12" t="s">
        <v>16</v>
      </c>
      <c r="G467" s="13">
        <v>655</v>
      </c>
      <c r="H467" s="9">
        <v>47498807</v>
      </c>
      <c r="I467" s="9" t="s">
        <v>0</v>
      </c>
      <c r="J467" s="9" t="s">
        <v>0</v>
      </c>
      <c r="K467" s="13">
        <v>500</v>
      </c>
      <c r="L467" s="9">
        <v>47498807</v>
      </c>
    </row>
    <row r="468" spans="1:12" ht="16.5" customHeight="1">
      <c r="A468" s="1"/>
      <c r="B468" s="1" t="s">
        <v>10</v>
      </c>
      <c r="C468" s="6" t="s">
        <v>13</v>
      </c>
      <c r="D468" s="6" t="s">
        <v>3</v>
      </c>
      <c r="E468" s="5">
        <v>9</v>
      </c>
      <c r="F468" s="12" t="s">
        <v>16</v>
      </c>
      <c r="G468" s="13">
        <v>3000</v>
      </c>
      <c r="H468" s="9">
        <v>47498807</v>
      </c>
      <c r="I468" s="13" t="s">
        <v>0</v>
      </c>
      <c r="J468" s="9" t="s">
        <v>0</v>
      </c>
      <c r="K468" s="13">
        <v>3000</v>
      </c>
      <c r="L468" s="9">
        <v>47498807</v>
      </c>
    </row>
    <row r="469" spans="1:12" ht="16.5" customHeight="1">
      <c r="A469" s="1"/>
      <c r="B469" s="1" t="s">
        <v>9</v>
      </c>
      <c r="C469" s="6" t="s">
        <v>13</v>
      </c>
      <c r="D469" s="6" t="s">
        <v>3</v>
      </c>
      <c r="E469" s="5">
        <v>9</v>
      </c>
      <c r="F469" s="12" t="s">
        <v>16</v>
      </c>
      <c r="G469" s="13">
        <v>3240</v>
      </c>
      <c r="H469" s="9">
        <v>47498807</v>
      </c>
      <c r="I469" s="13" t="s">
        <v>0</v>
      </c>
      <c r="J469" s="9" t="s">
        <v>0</v>
      </c>
      <c r="K469" s="13">
        <v>3240</v>
      </c>
      <c r="L469" s="9">
        <v>47498807</v>
      </c>
    </row>
    <row r="470" spans="1:12" ht="16.5" customHeight="1">
      <c r="A470" s="1"/>
      <c r="B470" s="1" t="s">
        <v>8</v>
      </c>
      <c r="C470" s="6" t="s">
        <v>13</v>
      </c>
      <c r="D470" s="6" t="s">
        <v>3</v>
      </c>
      <c r="E470" s="5">
        <v>9</v>
      </c>
      <c r="F470" s="12" t="s">
        <v>16</v>
      </c>
      <c r="G470" s="13">
        <v>2401</v>
      </c>
      <c r="H470" s="9">
        <v>47498807</v>
      </c>
      <c r="I470" s="9" t="s">
        <v>0</v>
      </c>
      <c r="J470" s="9" t="s">
        <v>0</v>
      </c>
      <c r="K470" s="13">
        <v>2843</v>
      </c>
      <c r="L470" s="9">
        <v>47498807</v>
      </c>
    </row>
    <row r="471" spans="1:12" ht="16.5" customHeight="1">
      <c r="A471" s="1"/>
      <c r="B471" s="23" t="s">
        <v>7</v>
      </c>
      <c r="C471" s="4" t="s">
        <v>13</v>
      </c>
      <c r="D471" s="4" t="s">
        <v>3</v>
      </c>
      <c r="E471" s="3">
        <v>9</v>
      </c>
      <c r="F471" s="12" t="s">
        <v>16</v>
      </c>
      <c r="G471" s="10">
        <v>1689</v>
      </c>
      <c r="H471" s="9">
        <v>47498807</v>
      </c>
      <c r="I471" s="11" t="s">
        <v>0</v>
      </c>
      <c r="J471" s="9" t="s">
        <v>0</v>
      </c>
      <c r="K471" s="10">
        <v>1801</v>
      </c>
      <c r="L471" s="9">
        <v>47498807</v>
      </c>
    </row>
    <row r="472" spans="1:12" ht="16.5" customHeight="1">
      <c r="A472" s="1"/>
      <c r="B472" s="196" t="s">
        <v>4</v>
      </c>
      <c r="C472" s="8" t="s">
        <v>12</v>
      </c>
      <c r="D472" s="8" t="s">
        <v>19</v>
      </c>
      <c r="E472" s="7">
        <v>4.5</v>
      </c>
      <c r="F472" s="15" t="s">
        <v>16</v>
      </c>
      <c r="G472" s="197">
        <f>$E472</f>
        <v>4.5</v>
      </c>
      <c r="H472" s="14">
        <v>47498810</v>
      </c>
      <c r="I472" s="14" t="s">
        <v>0</v>
      </c>
      <c r="J472" s="14" t="s">
        <v>0</v>
      </c>
      <c r="K472" s="197">
        <f>$E472</f>
        <v>4.5</v>
      </c>
      <c r="L472" s="14">
        <v>47498810</v>
      </c>
    </row>
    <row r="473" spans="1:12" ht="16.5" customHeight="1">
      <c r="A473" s="1"/>
      <c r="B473" s="1" t="s">
        <v>11</v>
      </c>
      <c r="C473" s="6" t="s">
        <v>12</v>
      </c>
      <c r="D473" s="6" t="s">
        <v>19</v>
      </c>
      <c r="E473" s="5">
        <v>4.5</v>
      </c>
      <c r="F473" s="12" t="s">
        <v>16</v>
      </c>
      <c r="G473" s="13">
        <v>1300</v>
      </c>
      <c r="H473" s="9">
        <v>47498810</v>
      </c>
      <c r="I473" s="9" t="s">
        <v>0</v>
      </c>
      <c r="J473" s="9" t="s">
        <v>0</v>
      </c>
      <c r="K473" s="13">
        <v>1030</v>
      </c>
      <c r="L473" s="9">
        <v>47498810</v>
      </c>
    </row>
    <row r="474" spans="1:12" ht="16.5" customHeight="1">
      <c r="A474" s="1"/>
      <c r="B474" s="1" t="s">
        <v>10</v>
      </c>
      <c r="C474" s="6" t="s">
        <v>12</v>
      </c>
      <c r="D474" s="6" t="s">
        <v>19</v>
      </c>
      <c r="E474" s="5">
        <v>4.5</v>
      </c>
      <c r="F474" s="12" t="s">
        <v>16</v>
      </c>
      <c r="G474" s="13">
        <v>2850</v>
      </c>
      <c r="H474" s="9">
        <v>47498810</v>
      </c>
      <c r="I474" s="13" t="s">
        <v>0</v>
      </c>
      <c r="J474" s="9" t="s">
        <v>0</v>
      </c>
      <c r="K474" s="13">
        <v>2850</v>
      </c>
      <c r="L474" s="9">
        <v>47498810</v>
      </c>
    </row>
    <row r="475" spans="1:12" ht="16.5" customHeight="1">
      <c r="A475" s="1"/>
      <c r="B475" s="1" t="s">
        <v>9</v>
      </c>
      <c r="C475" s="6" t="s">
        <v>12</v>
      </c>
      <c r="D475" s="6" t="s">
        <v>19</v>
      </c>
      <c r="E475" s="5">
        <v>4.5</v>
      </c>
      <c r="F475" s="12" t="s">
        <v>16</v>
      </c>
      <c r="G475" s="13">
        <v>2750</v>
      </c>
      <c r="H475" s="9">
        <v>47498810</v>
      </c>
      <c r="I475" s="13" t="s">
        <v>0</v>
      </c>
      <c r="J475" s="9" t="s">
        <v>0</v>
      </c>
      <c r="K475" s="13">
        <v>2750</v>
      </c>
      <c r="L475" s="9">
        <v>47498810</v>
      </c>
    </row>
    <row r="476" spans="1:12" ht="16.5" customHeight="1">
      <c r="A476" s="1"/>
      <c r="B476" s="1" t="s">
        <v>8</v>
      </c>
      <c r="C476" s="6" t="s">
        <v>12</v>
      </c>
      <c r="D476" s="6" t="s">
        <v>19</v>
      </c>
      <c r="E476" s="5">
        <v>4.5</v>
      </c>
      <c r="F476" s="12" t="s">
        <v>16</v>
      </c>
      <c r="G476" s="13">
        <v>4760</v>
      </c>
      <c r="H476" s="9">
        <v>47498810</v>
      </c>
      <c r="I476" s="9" t="s">
        <v>0</v>
      </c>
      <c r="J476" s="9" t="s">
        <v>0</v>
      </c>
      <c r="K476" s="13">
        <v>5241</v>
      </c>
      <c r="L476" s="9">
        <v>47498810</v>
      </c>
    </row>
    <row r="477" spans="1:12" ht="16.5" customHeight="1">
      <c r="A477" s="1"/>
      <c r="B477" s="23" t="s">
        <v>7</v>
      </c>
      <c r="C477" s="4" t="s">
        <v>12</v>
      </c>
      <c r="D477" s="4" t="s">
        <v>19</v>
      </c>
      <c r="E477" s="3">
        <v>4.5</v>
      </c>
      <c r="F477" s="12" t="s">
        <v>16</v>
      </c>
      <c r="G477" s="10">
        <v>1611</v>
      </c>
      <c r="H477" s="9">
        <v>47498810</v>
      </c>
      <c r="I477" s="11" t="s">
        <v>0</v>
      </c>
      <c r="J477" s="9" t="s">
        <v>0</v>
      </c>
      <c r="K477" s="10">
        <v>1705</v>
      </c>
      <c r="L477" s="9">
        <v>47498810</v>
      </c>
    </row>
    <row r="478" spans="1:12" ht="16.5" customHeight="1">
      <c r="A478" s="1"/>
      <c r="B478" s="196" t="s">
        <v>4</v>
      </c>
      <c r="C478" s="8" t="s">
        <v>12</v>
      </c>
      <c r="D478" s="8" t="s">
        <v>19</v>
      </c>
      <c r="E478" s="7">
        <v>5</v>
      </c>
      <c r="F478" s="15" t="s">
        <v>16</v>
      </c>
      <c r="G478" s="197">
        <f>$E478</f>
        <v>5</v>
      </c>
      <c r="H478" s="14">
        <v>47498811</v>
      </c>
      <c r="I478" s="14" t="s">
        <v>0</v>
      </c>
      <c r="J478" s="14" t="s">
        <v>0</v>
      </c>
      <c r="K478" s="197">
        <f>$E478</f>
        <v>5</v>
      </c>
      <c r="L478" s="14">
        <v>47498811</v>
      </c>
    </row>
    <row r="479" spans="1:12" ht="16.5" customHeight="1">
      <c r="A479" s="1"/>
      <c r="B479" s="1" t="s">
        <v>11</v>
      </c>
      <c r="C479" s="6" t="s">
        <v>12</v>
      </c>
      <c r="D479" s="6" t="s">
        <v>19</v>
      </c>
      <c r="E479" s="5">
        <v>5</v>
      </c>
      <c r="F479" s="12" t="s">
        <v>16</v>
      </c>
      <c r="G479" s="13">
        <v>1100</v>
      </c>
      <c r="H479" s="9">
        <v>47498811</v>
      </c>
      <c r="I479" s="9" t="s">
        <v>0</v>
      </c>
      <c r="J479" s="9" t="s">
        <v>0</v>
      </c>
      <c r="K479" s="13">
        <v>870</v>
      </c>
      <c r="L479" s="9">
        <v>47498811</v>
      </c>
    </row>
    <row r="480" spans="1:12" ht="16.5" customHeight="1">
      <c r="A480" s="1"/>
      <c r="B480" s="1" t="s">
        <v>10</v>
      </c>
      <c r="C480" s="6" t="s">
        <v>12</v>
      </c>
      <c r="D480" s="6" t="s">
        <v>19</v>
      </c>
      <c r="E480" s="5">
        <v>5</v>
      </c>
      <c r="F480" s="12" t="s">
        <v>16</v>
      </c>
      <c r="G480" s="13">
        <v>3000</v>
      </c>
      <c r="H480" s="9">
        <v>47498811</v>
      </c>
      <c r="I480" s="13" t="s">
        <v>0</v>
      </c>
      <c r="J480" s="9" t="s">
        <v>0</v>
      </c>
      <c r="K480" s="13">
        <v>3000</v>
      </c>
      <c r="L480" s="9">
        <v>47498811</v>
      </c>
    </row>
    <row r="481" spans="1:12" ht="16.5" customHeight="1">
      <c r="A481" s="1"/>
      <c r="B481" s="1" t="s">
        <v>9</v>
      </c>
      <c r="C481" s="6" t="s">
        <v>12</v>
      </c>
      <c r="D481" s="6" t="s">
        <v>19</v>
      </c>
      <c r="E481" s="5">
        <v>5</v>
      </c>
      <c r="F481" s="12" t="s">
        <v>16</v>
      </c>
      <c r="G481" s="13">
        <v>3070</v>
      </c>
      <c r="H481" s="9">
        <v>47498811</v>
      </c>
      <c r="I481" s="13" t="s">
        <v>0</v>
      </c>
      <c r="J481" s="9" t="s">
        <v>0</v>
      </c>
      <c r="K481" s="13">
        <v>3070</v>
      </c>
      <c r="L481" s="9">
        <v>47498811</v>
      </c>
    </row>
    <row r="482" spans="1:12" ht="16.5" customHeight="1">
      <c r="A482" s="1"/>
      <c r="B482" s="1" t="s">
        <v>8</v>
      </c>
      <c r="C482" s="6" t="s">
        <v>12</v>
      </c>
      <c r="D482" s="6" t="s">
        <v>19</v>
      </c>
      <c r="E482" s="5">
        <v>5</v>
      </c>
      <c r="F482" s="12" t="s">
        <v>16</v>
      </c>
      <c r="G482" s="13">
        <v>4708</v>
      </c>
      <c r="H482" s="9">
        <v>47498811</v>
      </c>
      <c r="I482" s="9" t="s">
        <v>0</v>
      </c>
      <c r="J482" s="9" t="s">
        <v>0</v>
      </c>
      <c r="K482" s="13">
        <v>5195</v>
      </c>
      <c r="L482" s="9">
        <v>47498811</v>
      </c>
    </row>
    <row r="483" spans="1:12" ht="16.5" customHeight="1">
      <c r="A483" s="1"/>
      <c r="B483" s="23" t="s">
        <v>7</v>
      </c>
      <c r="C483" s="4" t="s">
        <v>12</v>
      </c>
      <c r="D483" s="4" t="s">
        <v>19</v>
      </c>
      <c r="E483" s="3">
        <v>5</v>
      </c>
      <c r="F483" s="12" t="s">
        <v>16</v>
      </c>
      <c r="G483" s="10">
        <v>1791</v>
      </c>
      <c r="H483" s="9">
        <v>47498811</v>
      </c>
      <c r="I483" s="11" t="s">
        <v>0</v>
      </c>
      <c r="J483" s="9" t="s">
        <v>0</v>
      </c>
      <c r="K483" s="10">
        <v>1886</v>
      </c>
      <c r="L483" s="9">
        <v>47498811</v>
      </c>
    </row>
    <row r="484" spans="1:12" ht="16.5" customHeight="1">
      <c r="A484" s="1"/>
      <c r="B484" s="196" t="s">
        <v>4</v>
      </c>
      <c r="C484" s="8" t="s">
        <v>12</v>
      </c>
      <c r="D484" s="8" t="s">
        <v>3</v>
      </c>
      <c r="E484" s="7">
        <v>4.5</v>
      </c>
      <c r="F484" s="15" t="s">
        <v>16</v>
      </c>
      <c r="G484" s="197">
        <f>$E484</f>
        <v>4.5</v>
      </c>
      <c r="H484" s="14">
        <v>47498812</v>
      </c>
      <c r="I484" s="14" t="s">
        <v>0</v>
      </c>
      <c r="J484" s="14" t="s">
        <v>0</v>
      </c>
      <c r="K484" s="197">
        <f>$E484</f>
        <v>4.5</v>
      </c>
      <c r="L484" s="14">
        <v>47498812</v>
      </c>
    </row>
    <row r="485" spans="1:12" ht="16.5" customHeight="1">
      <c r="A485" s="1"/>
      <c r="B485" s="1" t="s">
        <v>11</v>
      </c>
      <c r="C485" s="6" t="s">
        <v>12</v>
      </c>
      <c r="D485" s="6" t="s">
        <v>3</v>
      </c>
      <c r="E485" s="5">
        <v>4.5</v>
      </c>
      <c r="F485" s="12" t="s">
        <v>16</v>
      </c>
      <c r="G485" s="13">
        <v>1410</v>
      </c>
      <c r="H485" s="9">
        <v>47498812</v>
      </c>
      <c r="I485" s="9" t="s">
        <v>0</v>
      </c>
      <c r="J485" s="9" t="s">
        <v>0</v>
      </c>
      <c r="K485" s="13">
        <v>1120</v>
      </c>
      <c r="L485" s="9">
        <v>47498812</v>
      </c>
    </row>
    <row r="486" spans="1:12" ht="16.5" customHeight="1">
      <c r="A486" s="1"/>
      <c r="B486" s="1" t="s">
        <v>10</v>
      </c>
      <c r="C486" s="6" t="s">
        <v>12</v>
      </c>
      <c r="D486" s="6" t="s">
        <v>3</v>
      </c>
      <c r="E486" s="5">
        <v>4.5</v>
      </c>
      <c r="F486" s="12" t="s">
        <v>16</v>
      </c>
      <c r="G486" s="13">
        <v>2850</v>
      </c>
      <c r="H486" s="9">
        <v>47498812</v>
      </c>
      <c r="I486" s="13" t="s">
        <v>0</v>
      </c>
      <c r="J486" s="9" t="s">
        <v>0</v>
      </c>
      <c r="K486" s="13">
        <v>2850</v>
      </c>
      <c r="L486" s="9">
        <v>47498812</v>
      </c>
    </row>
    <row r="487" spans="1:12" ht="16.5" customHeight="1">
      <c r="A487" s="1"/>
      <c r="B487" s="1" t="s">
        <v>9</v>
      </c>
      <c r="C487" s="6" t="s">
        <v>12</v>
      </c>
      <c r="D487" s="6" t="s">
        <v>3</v>
      </c>
      <c r="E487" s="5">
        <v>4.5</v>
      </c>
      <c r="F487" s="12" t="s">
        <v>16</v>
      </c>
      <c r="G487" s="13">
        <v>2250</v>
      </c>
      <c r="H487" s="9">
        <v>47498812</v>
      </c>
      <c r="I487" s="13" t="s">
        <v>0</v>
      </c>
      <c r="J487" s="9" t="s">
        <v>0</v>
      </c>
      <c r="K487" s="13">
        <v>2250</v>
      </c>
      <c r="L487" s="9">
        <v>47498812</v>
      </c>
    </row>
    <row r="488" spans="1:12" ht="16.5" customHeight="1">
      <c r="A488" s="1"/>
      <c r="B488" s="1" t="s">
        <v>8</v>
      </c>
      <c r="C488" s="6" t="s">
        <v>12</v>
      </c>
      <c r="D488" s="6" t="s">
        <v>3</v>
      </c>
      <c r="E488" s="5">
        <v>4.5</v>
      </c>
      <c r="F488" s="12" t="s">
        <v>16</v>
      </c>
      <c r="G488" s="13">
        <v>4653</v>
      </c>
      <c r="H488" s="9">
        <v>47498812</v>
      </c>
      <c r="I488" s="9" t="s">
        <v>0</v>
      </c>
      <c r="J488" s="9" t="s">
        <v>0</v>
      </c>
      <c r="K488" s="13">
        <v>5132</v>
      </c>
      <c r="L488" s="9">
        <v>47498812</v>
      </c>
    </row>
    <row r="489" spans="1:12" ht="16.5" customHeight="1">
      <c r="A489" s="1"/>
      <c r="B489" s="23" t="s">
        <v>7</v>
      </c>
      <c r="C489" s="4" t="s">
        <v>12</v>
      </c>
      <c r="D489" s="4" t="s">
        <v>3</v>
      </c>
      <c r="E489" s="3">
        <v>4.5</v>
      </c>
      <c r="F489" s="12" t="s">
        <v>16</v>
      </c>
      <c r="G489" s="10">
        <v>1499</v>
      </c>
      <c r="H489" s="9">
        <v>47498812</v>
      </c>
      <c r="I489" s="11" t="s">
        <v>0</v>
      </c>
      <c r="J489" s="9" t="s">
        <v>0</v>
      </c>
      <c r="K489" s="10">
        <v>1595</v>
      </c>
      <c r="L489" s="9">
        <v>47498812</v>
      </c>
    </row>
    <row r="490" spans="1:12" ht="16.5" customHeight="1">
      <c r="A490" s="1"/>
      <c r="B490" s="196" t="s">
        <v>4</v>
      </c>
      <c r="C490" s="8" t="s">
        <v>12</v>
      </c>
      <c r="D490" s="8" t="s">
        <v>3</v>
      </c>
      <c r="E490" s="7">
        <v>5</v>
      </c>
      <c r="F490" s="15" t="s">
        <v>16</v>
      </c>
      <c r="G490" s="197">
        <f>$E490</f>
        <v>5</v>
      </c>
      <c r="H490" s="14">
        <v>47498814</v>
      </c>
      <c r="I490" s="14" t="s">
        <v>0</v>
      </c>
      <c r="J490" s="14" t="s">
        <v>0</v>
      </c>
      <c r="K490" s="197">
        <f>$E490</f>
        <v>5</v>
      </c>
      <c r="L490" s="14">
        <v>47498814</v>
      </c>
    </row>
    <row r="491" spans="1:12" ht="16.5" customHeight="1">
      <c r="A491" s="1"/>
      <c r="B491" s="1" t="s">
        <v>11</v>
      </c>
      <c r="C491" s="6" t="s">
        <v>12</v>
      </c>
      <c r="D491" s="6" t="s">
        <v>3</v>
      </c>
      <c r="E491" s="5">
        <v>5</v>
      </c>
      <c r="F491" s="12" t="s">
        <v>16</v>
      </c>
      <c r="G491" s="13">
        <v>1190</v>
      </c>
      <c r="H491" s="9">
        <v>47498814</v>
      </c>
      <c r="I491" s="9" t="s">
        <v>0</v>
      </c>
      <c r="J491" s="9" t="s">
        <v>0</v>
      </c>
      <c r="K491" s="13">
        <v>950</v>
      </c>
      <c r="L491" s="9">
        <v>47498814</v>
      </c>
    </row>
    <row r="492" spans="1:12" ht="16.5" customHeight="1">
      <c r="A492" s="1"/>
      <c r="B492" s="1" t="s">
        <v>10</v>
      </c>
      <c r="C492" s="6" t="s">
        <v>12</v>
      </c>
      <c r="D492" s="6" t="s">
        <v>3</v>
      </c>
      <c r="E492" s="5">
        <v>5</v>
      </c>
      <c r="F492" s="12" t="s">
        <v>16</v>
      </c>
      <c r="G492" s="13">
        <v>3000</v>
      </c>
      <c r="H492" s="9">
        <v>47498814</v>
      </c>
      <c r="I492" s="13" t="s">
        <v>0</v>
      </c>
      <c r="J492" s="9" t="s">
        <v>0</v>
      </c>
      <c r="K492" s="13">
        <v>3000</v>
      </c>
      <c r="L492" s="9">
        <v>47498814</v>
      </c>
    </row>
    <row r="493" spans="1:12" ht="16.5" customHeight="1">
      <c r="A493" s="1"/>
      <c r="B493" s="1" t="s">
        <v>9</v>
      </c>
      <c r="C493" s="6" t="s">
        <v>12</v>
      </c>
      <c r="D493" s="6" t="s">
        <v>3</v>
      </c>
      <c r="E493" s="5">
        <v>5</v>
      </c>
      <c r="F493" s="12" t="s">
        <v>16</v>
      </c>
      <c r="G493" s="13">
        <v>2570</v>
      </c>
      <c r="H493" s="9">
        <v>47498814</v>
      </c>
      <c r="I493" s="13" t="s">
        <v>0</v>
      </c>
      <c r="J493" s="9" t="s">
        <v>0</v>
      </c>
      <c r="K493" s="13">
        <v>2570</v>
      </c>
      <c r="L493" s="9">
        <v>47498814</v>
      </c>
    </row>
    <row r="494" spans="1:12" ht="16.5" customHeight="1">
      <c r="A494" s="1"/>
      <c r="B494" s="1" t="s">
        <v>8</v>
      </c>
      <c r="C494" s="6" t="s">
        <v>12</v>
      </c>
      <c r="D494" s="6" t="s">
        <v>3</v>
      </c>
      <c r="E494" s="5">
        <v>5</v>
      </c>
      <c r="F494" s="12" t="s">
        <v>16</v>
      </c>
      <c r="G494" s="13">
        <v>4563</v>
      </c>
      <c r="H494" s="9">
        <v>47498814</v>
      </c>
      <c r="I494" s="9" t="s">
        <v>0</v>
      </c>
      <c r="J494" s="9" t="s">
        <v>0</v>
      </c>
      <c r="K494" s="13">
        <v>5045</v>
      </c>
      <c r="L494" s="9">
        <v>47498814</v>
      </c>
    </row>
    <row r="495" spans="1:12" ht="16.5" customHeight="1">
      <c r="A495" s="1"/>
      <c r="B495" s="23" t="s">
        <v>7</v>
      </c>
      <c r="C495" s="4" t="s">
        <v>12</v>
      </c>
      <c r="D495" s="4" t="s">
        <v>3</v>
      </c>
      <c r="E495" s="3">
        <v>5</v>
      </c>
      <c r="F495" s="12" t="s">
        <v>16</v>
      </c>
      <c r="G495" s="10">
        <v>1642</v>
      </c>
      <c r="H495" s="9">
        <v>47498814</v>
      </c>
      <c r="I495" s="11" t="s">
        <v>0</v>
      </c>
      <c r="J495" s="9" t="s">
        <v>0</v>
      </c>
      <c r="K495" s="10">
        <v>1741</v>
      </c>
      <c r="L495" s="9">
        <v>47498814</v>
      </c>
    </row>
    <row r="496" spans="1:12" ht="16.5" customHeight="1">
      <c r="A496" s="1"/>
      <c r="B496" s="196" t="s">
        <v>4</v>
      </c>
      <c r="C496" s="8" t="s">
        <v>12</v>
      </c>
      <c r="D496" s="8" t="s">
        <v>3</v>
      </c>
      <c r="E496" s="7">
        <v>6</v>
      </c>
      <c r="F496" s="15" t="s">
        <v>16</v>
      </c>
      <c r="G496" s="197">
        <f>$E496</f>
        <v>6</v>
      </c>
      <c r="H496" s="14">
        <v>47498815</v>
      </c>
      <c r="I496" s="14" t="s">
        <v>0</v>
      </c>
      <c r="J496" s="14" t="s">
        <v>0</v>
      </c>
      <c r="K496" s="197">
        <f>$E496</f>
        <v>6</v>
      </c>
      <c r="L496" s="14">
        <v>47498815</v>
      </c>
    </row>
    <row r="497" spans="1:12" ht="16.5" customHeight="1">
      <c r="A497" s="1"/>
      <c r="B497" s="1" t="s">
        <v>11</v>
      </c>
      <c r="C497" s="6" t="s">
        <v>12</v>
      </c>
      <c r="D497" s="6" t="s">
        <v>3</v>
      </c>
      <c r="E497" s="5">
        <v>6</v>
      </c>
      <c r="F497" s="12" t="s">
        <v>16</v>
      </c>
      <c r="G497" s="13">
        <v>960</v>
      </c>
      <c r="H497" s="9">
        <v>47498815</v>
      </c>
      <c r="I497" s="9" t="s">
        <v>0</v>
      </c>
      <c r="J497" s="9" t="s">
        <v>0</v>
      </c>
      <c r="K497" s="13">
        <v>750</v>
      </c>
      <c r="L497" s="9">
        <v>47498815</v>
      </c>
    </row>
    <row r="498" spans="1:12" ht="16.5" customHeight="1">
      <c r="A498" s="1"/>
      <c r="B498" s="1" t="s">
        <v>10</v>
      </c>
      <c r="C498" s="6" t="s">
        <v>12</v>
      </c>
      <c r="D498" s="6" t="s">
        <v>3</v>
      </c>
      <c r="E498" s="5">
        <v>6</v>
      </c>
      <c r="F498" s="12" t="s">
        <v>16</v>
      </c>
      <c r="G498" s="13">
        <v>3200</v>
      </c>
      <c r="H498" s="9">
        <v>47498815</v>
      </c>
      <c r="I498" s="13" t="s">
        <v>0</v>
      </c>
      <c r="J498" s="9" t="s">
        <v>0</v>
      </c>
      <c r="K498" s="13">
        <v>3200</v>
      </c>
      <c r="L498" s="9">
        <v>47498815</v>
      </c>
    </row>
    <row r="499" spans="1:12" ht="16.5" customHeight="1">
      <c r="A499" s="1"/>
      <c r="B499" s="1" t="s">
        <v>9</v>
      </c>
      <c r="C499" s="6" t="s">
        <v>12</v>
      </c>
      <c r="D499" s="6" t="s">
        <v>3</v>
      </c>
      <c r="E499" s="5">
        <v>6</v>
      </c>
      <c r="F499" s="12" t="s">
        <v>16</v>
      </c>
      <c r="G499" s="13">
        <v>3150</v>
      </c>
      <c r="H499" s="9">
        <v>47498815</v>
      </c>
      <c r="I499" s="13" t="s">
        <v>0</v>
      </c>
      <c r="J499" s="9" t="s">
        <v>0</v>
      </c>
      <c r="K499" s="13">
        <v>3150</v>
      </c>
      <c r="L499" s="9">
        <v>47498815</v>
      </c>
    </row>
    <row r="500" spans="1:12" ht="16.5" customHeight="1">
      <c r="A500" s="1"/>
      <c r="B500" s="1" t="s">
        <v>8</v>
      </c>
      <c r="C500" s="6" t="s">
        <v>12</v>
      </c>
      <c r="D500" s="6" t="s">
        <v>3</v>
      </c>
      <c r="E500" s="5">
        <v>6</v>
      </c>
      <c r="F500" s="12" t="s">
        <v>16</v>
      </c>
      <c r="G500" s="13">
        <v>4657</v>
      </c>
      <c r="H500" s="9">
        <v>47498815</v>
      </c>
      <c r="I500" s="9" t="s">
        <v>0</v>
      </c>
      <c r="J500" s="9" t="s">
        <v>0</v>
      </c>
      <c r="K500" s="13">
        <v>5140</v>
      </c>
      <c r="L500" s="9">
        <v>47498815</v>
      </c>
    </row>
    <row r="501" spans="1:12" ht="16.5" customHeight="1">
      <c r="A501" s="1"/>
      <c r="B501" s="23" t="s">
        <v>7</v>
      </c>
      <c r="C501" s="4" t="s">
        <v>12</v>
      </c>
      <c r="D501" s="4" t="s">
        <v>3</v>
      </c>
      <c r="E501" s="3">
        <v>6</v>
      </c>
      <c r="F501" s="12" t="s">
        <v>16</v>
      </c>
      <c r="G501" s="10">
        <v>1638</v>
      </c>
      <c r="H501" s="9">
        <v>47498815</v>
      </c>
      <c r="I501" s="11" t="s">
        <v>0</v>
      </c>
      <c r="J501" s="9" t="s">
        <v>0</v>
      </c>
      <c r="K501" s="10">
        <v>1736</v>
      </c>
      <c r="L501" s="9">
        <v>47498815</v>
      </c>
    </row>
    <row r="502" spans="1:12" ht="16.5" customHeight="1">
      <c r="A502" s="1"/>
      <c r="B502" s="196" t="s">
        <v>4</v>
      </c>
      <c r="C502" s="205" t="s">
        <v>146</v>
      </c>
      <c r="D502" s="8" t="s">
        <v>19</v>
      </c>
      <c r="E502" s="7">
        <v>4.5</v>
      </c>
      <c r="F502" s="15" t="s">
        <v>16</v>
      </c>
      <c r="G502" s="197">
        <f>$E502</f>
        <v>4.5</v>
      </c>
      <c r="H502" s="14">
        <v>47498832</v>
      </c>
      <c r="I502" s="14" t="s">
        <v>0</v>
      </c>
      <c r="J502" s="14" t="s">
        <v>0</v>
      </c>
      <c r="K502" s="197">
        <f>$E502</f>
        <v>4.5</v>
      </c>
      <c r="L502" s="14">
        <v>47498832</v>
      </c>
    </row>
    <row r="503" spans="1:12" ht="16.5" customHeight="1">
      <c r="A503" s="1"/>
      <c r="B503" s="1" t="s">
        <v>11</v>
      </c>
      <c r="C503" s="206" t="s">
        <v>146</v>
      </c>
      <c r="D503" s="6" t="s">
        <v>19</v>
      </c>
      <c r="E503" s="5">
        <v>4.5</v>
      </c>
      <c r="F503" s="12" t="s">
        <v>16</v>
      </c>
      <c r="G503" s="13">
        <v>1290</v>
      </c>
      <c r="H503" s="9">
        <v>47498832</v>
      </c>
      <c r="I503" s="9" t="s">
        <v>0</v>
      </c>
      <c r="J503" s="9" t="s">
        <v>0</v>
      </c>
      <c r="K503" s="13">
        <v>1020</v>
      </c>
      <c r="L503" s="9">
        <v>47498832</v>
      </c>
    </row>
    <row r="504" spans="1:12" ht="16.5" customHeight="1">
      <c r="A504" s="1"/>
      <c r="B504" s="1" t="s">
        <v>10</v>
      </c>
      <c r="C504" s="206" t="s">
        <v>146</v>
      </c>
      <c r="D504" s="6" t="s">
        <v>19</v>
      </c>
      <c r="E504" s="5">
        <v>4.5</v>
      </c>
      <c r="F504" s="12" t="s">
        <v>16</v>
      </c>
      <c r="G504" s="13">
        <v>2850</v>
      </c>
      <c r="H504" s="9">
        <v>47498832</v>
      </c>
      <c r="I504" s="13" t="s">
        <v>0</v>
      </c>
      <c r="J504" s="9" t="s">
        <v>0</v>
      </c>
      <c r="K504" s="13">
        <v>2850</v>
      </c>
      <c r="L504" s="9">
        <v>47498832</v>
      </c>
    </row>
    <row r="505" spans="1:12" ht="16.5" customHeight="1">
      <c r="A505" s="1"/>
      <c r="B505" s="1" t="s">
        <v>9</v>
      </c>
      <c r="C505" s="206" t="s">
        <v>146</v>
      </c>
      <c r="D505" s="6" t="s">
        <v>19</v>
      </c>
      <c r="E505" s="5">
        <v>4.5</v>
      </c>
      <c r="F505" s="12" t="s">
        <v>16</v>
      </c>
      <c r="G505" s="13">
        <v>2880</v>
      </c>
      <c r="H505" s="9">
        <v>47498832</v>
      </c>
      <c r="I505" s="13" t="s">
        <v>0</v>
      </c>
      <c r="J505" s="9" t="s">
        <v>0</v>
      </c>
      <c r="K505" s="13">
        <v>2880</v>
      </c>
      <c r="L505" s="9">
        <v>47498832</v>
      </c>
    </row>
    <row r="506" spans="1:12" ht="16.5" customHeight="1">
      <c r="A506" s="1"/>
      <c r="B506" s="1" t="s">
        <v>8</v>
      </c>
      <c r="C506" s="206" t="s">
        <v>146</v>
      </c>
      <c r="D506" s="6" t="s">
        <v>19</v>
      </c>
      <c r="E506" s="5">
        <v>4.5</v>
      </c>
      <c r="F506" s="12" t="s">
        <v>16</v>
      </c>
      <c r="G506" s="13">
        <v>2503</v>
      </c>
      <c r="H506" s="9">
        <v>47498832</v>
      </c>
      <c r="I506" s="9" t="s">
        <v>0</v>
      </c>
      <c r="J506" s="9" t="s">
        <v>0</v>
      </c>
      <c r="K506" s="13">
        <v>2944</v>
      </c>
      <c r="L506" s="9">
        <v>47498832</v>
      </c>
    </row>
    <row r="507" spans="1:12" ht="16.5" customHeight="1">
      <c r="A507" s="1"/>
      <c r="B507" s="23" t="s">
        <v>7</v>
      </c>
      <c r="C507" s="207" t="s">
        <v>146</v>
      </c>
      <c r="D507" s="4" t="s">
        <v>19</v>
      </c>
      <c r="E507" s="3">
        <v>4.5</v>
      </c>
      <c r="F507" s="12" t="s">
        <v>16</v>
      </c>
      <c r="G507" s="10">
        <v>1458</v>
      </c>
      <c r="H507" s="9">
        <v>47498832</v>
      </c>
      <c r="I507" s="11" t="s">
        <v>0</v>
      </c>
      <c r="J507" s="9" t="s">
        <v>0</v>
      </c>
      <c r="K507" s="10">
        <v>1571</v>
      </c>
      <c r="L507" s="9">
        <v>47498832</v>
      </c>
    </row>
    <row r="508" spans="1:12" ht="16.5" customHeight="1">
      <c r="A508" s="1"/>
      <c r="B508" s="196" t="s">
        <v>4</v>
      </c>
      <c r="C508" s="205" t="s">
        <v>146</v>
      </c>
      <c r="D508" s="8" t="s">
        <v>19</v>
      </c>
      <c r="E508" s="7">
        <v>5.3</v>
      </c>
      <c r="F508" s="15" t="s">
        <v>16</v>
      </c>
      <c r="G508" s="197">
        <f>$E508</f>
        <v>5.3</v>
      </c>
      <c r="H508" s="14">
        <v>47498833</v>
      </c>
      <c r="I508" s="14" t="s">
        <v>0</v>
      </c>
      <c r="J508" s="14" t="s">
        <v>0</v>
      </c>
      <c r="K508" s="197">
        <f>$E508</f>
        <v>5.3</v>
      </c>
      <c r="L508" s="14">
        <v>47498833</v>
      </c>
    </row>
    <row r="509" spans="1:12" ht="16.5" customHeight="1">
      <c r="A509" s="1"/>
      <c r="B509" s="1" t="s">
        <v>11</v>
      </c>
      <c r="C509" s="206" t="s">
        <v>146</v>
      </c>
      <c r="D509" s="6" t="s">
        <v>19</v>
      </c>
      <c r="E509" s="5">
        <v>5.3</v>
      </c>
      <c r="F509" s="12" t="s">
        <v>16</v>
      </c>
      <c r="G509" s="13">
        <v>1080</v>
      </c>
      <c r="H509" s="9">
        <v>47498833</v>
      </c>
      <c r="I509" s="9" t="s">
        <v>0</v>
      </c>
      <c r="J509" s="9" t="s">
        <v>0</v>
      </c>
      <c r="K509" s="13">
        <v>850</v>
      </c>
      <c r="L509" s="9">
        <v>47498833</v>
      </c>
    </row>
    <row r="510" spans="1:12" ht="16.5" customHeight="1">
      <c r="A510" s="1"/>
      <c r="B510" s="1" t="s">
        <v>10</v>
      </c>
      <c r="C510" s="206" t="s">
        <v>146</v>
      </c>
      <c r="D510" s="6" t="s">
        <v>19</v>
      </c>
      <c r="E510" s="5">
        <v>5.3</v>
      </c>
      <c r="F510" s="12" t="s">
        <v>16</v>
      </c>
      <c r="G510" s="13">
        <v>2850</v>
      </c>
      <c r="H510" s="9">
        <v>47498833</v>
      </c>
      <c r="I510" s="13" t="s">
        <v>0</v>
      </c>
      <c r="J510" s="9" t="s">
        <v>0</v>
      </c>
      <c r="K510" s="13">
        <v>2850</v>
      </c>
      <c r="L510" s="9">
        <v>47498833</v>
      </c>
    </row>
    <row r="511" spans="1:12" ht="16.5" customHeight="1">
      <c r="A511" s="1"/>
      <c r="B511" s="1" t="s">
        <v>9</v>
      </c>
      <c r="C511" s="206" t="s">
        <v>146</v>
      </c>
      <c r="D511" s="6" t="s">
        <v>19</v>
      </c>
      <c r="E511" s="5">
        <v>5.3</v>
      </c>
      <c r="F511" s="12" t="s">
        <v>16</v>
      </c>
      <c r="G511" s="13">
        <v>3050</v>
      </c>
      <c r="H511" s="9">
        <v>47498833</v>
      </c>
      <c r="I511" s="13" t="s">
        <v>0</v>
      </c>
      <c r="J511" s="9" t="s">
        <v>0</v>
      </c>
      <c r="K511" s="13">
        <v>3050</v>
      </c>
      <c r="L511" s="9">
        <v>47498833</v>
      </c>
    </row>
    <row r="512" spans="1:12" ht="16.5" customHeight="1">
      <c r="A512" s="1"/>
      <c r="B512" s="1" t="s">
        <v>8</v>
      </c>
      <c r="C512" s="206" t="s">
        <v>146</v>
      </c>
      <c r="D512" s="6" t="s">
        <v>19</v>
      </c>
      <c r="E512" s="5">
        <v>5.3</v>
      </c>
      <c r="F512" s="12" t="s">
        <v>16</v>
      </c>
      <c r="G512" s="13">
        <v>2502</v>
      </c>
      <c r="H512" s="9">
        <v>47498833</v>
      </c>
      <c r="I512" s="9" t="s">
        <v>0</v>
      </c>
      <c r="J512" s="9" t="s">
        <v>0</v>
      </c>
      <c r="K512" s="13">
        <v>2944</v>
      </c>
      <c r="L512" s="9">
        <v>47498833</v>
      </c>
    </row>
    <row r="513" spans="1:12" ht="16.5" customHeight="1">
      <c r="A513" s="1"/>
      <c r="B513" s="23" t="s">
        <v>7</v>
      </c>
      <c r="C513" s="207" t="s">
        <v>146</v>
      </c>
      <c r="D513" s="4" t="s">
        <v>19</v>
      </c>
      <c r="E513" s="3">
        <v>5.3</v>
      </c>
      <c r="F513" s="12" t="s">
        <v>16</v>
      </c>
      <c r="G513" s="10">
        <v>1458</v>
      </c>
      <c r="H513" s="9">
        <v>47498833</v>
      </c>
      <c r="I513" s="11" t="s">
        <v>0</v>
      </c>
      <c r="J513" s="9" t="s">
        <v>0</v>
      </c>
      <c r="K513" s="10">
        <v>1571</v>
      </c>
      <c r="L513" s="9">
        <v>47498833</v>
      </c>
    </row>
    <row r="514" spans="1:12" ht="16.5" customHeight="1">
      <c r="A514" s="1"/>
      <c r="B514" s="196" t="s">
        <v>4</v>
      </c>
      <c r="C514" s="205" t="s">
        <v>146</v>
      </c>
      <c r="D514" s="8" t="s">
        <v>19</v>
      </c>
      <c r="E514" s="7">
        <v>5.8</v>
      </c>
      <c r="F514" s="15" t="s">
        <v>16</v>
      </c>
      <c r="G514" s="197">
        <f>$E514</f>
        <v>5.8</v>
      </c>
      <c r="H514" s="14">
        <v>47498836</v>
      </c>
      <c r="I514" s="14" t="s">
        <v>0</v>
      </c>
      <c r="J514" s="14" t="s">
        <v>0</v>
      </c>
      <c r="K514" s="197">
        <f>$E514</f>
        <v>5.8</v>
      </c>
      <c r="L514" s="14">
        <v>47498836</v>
      </c>
    </row>
    <row r="515" spans="1:12" ht="16.5" customHeight="1">
      <c r="A515" s="1"/>
      <c r="B515" s="1" t="s">
        <v>11</v>
      </c>
      <c r="C515" s="206" t="s">
        <v>146</v>
      </c>
      <c r="D515" s="6" t="s">
        <v>19</v>
      </c>
      <c r="E515" s="5">
        <v>5.8</v>
      </c>
      <c r="F515" s="12" t="s">
        <v>16</v>
      </c>
      <c r="G515" s="13">
        <v>970</v>
      </c>
      <c r="H515" s="9">
        <v>47498836</v>
      </c>
      <c r="I515" s="9" t="s">
        <v>0</v>
      </c>
      <c r="J515" s="9" t="s">
        <v>0</v>
      </c>
      <c r="K515" s="13">
        <v>750</v>
      </c>
      <c r="L515" s="9">
        <v>47498836</v>
      </c>
    </row>
    <row r="516" spans="1:12" ht="16.5" customHeight="1">
      <c r="A516" s="1"/>
      <c r="B516" s="1" t="s">
        <v>10</v>
      </c>
      <c r="C516" s="206" t="s">
        <v>146</v>
      </c>
      <c r="D516" s="6" t="s">
        <v>19</v>
      </c>
      <c r="E516" s="5">
        <v>5.8</v>
      </c>
      <c r="F516" s="12" t="s">
        <v>16</v>
      </c>
      <c r="G516" s="13">
        <v>3000</v>
      </c>
      <c r="H516" s="9">
        <v>47498836</v>
      </c>
      <c r="I516" s="13" t="s">
        <v>0</v>
      </c>
      <c r="J516" s="9" t="s">
        <v>0</v>
      </c>
      <c r="K516" s="13">
        <v>3000</v>
      </c>
      <c r="L516" s="9">
        <v>47498836</v>
      </c>
    </row>
    <row r="517" spans="1:12" ht="16.5" customHeight="1">
      <c r="A517" s="1"/>
      <c r="B517" s="1" t="s">
        <v>9</v>
      </c>
      <c r="C517" s="206" t="s">
        <v>146</v>
      </c>
      <c r="D517" s="6" t="s">
        <v>19</v>
      </c>
      <c r="E517" s="5">
        <v>5.8</v>
      </c>
      <c r="F517" s="12" t="s">
        <v>16</v>
      </c>
      <c r="G517" s="13">
        <v>3250</v>
      </c>
      <c r="H517" s="9">
        <v>47498836</v>
      </c>
      <c r="I517" s="13" t="s">
        <v>0</v>
      </c>
      <c r="J517" s="9" t="s">
        <v>0</v>
      </c>
      <c r="K517" s="13">
        <v>3250</v>
      </c>
      <c r="L517" s="9">
        <v>47498836</v>
      </c>
    </row>
    <row r="518" spans="1:12" ht="16.5" customHeight="1">
      <c r="A518" s="1"/>
      <c r="B518" s="1" t="s">
        <v>8</v>
      </c>
      <c r="C518" s="206" t="s">
        <v>146</v>
      </c>
      <c r="D518" s="6" t="s">
        <v>19</v>
      </c>
      <c r="E518" s="5">
        <v>5.8</v>
      </c>
      <c r="F518" s="12" t="s">
        <v>16</v>
      </c>
      <c r="G518" s="13">
        <v>2502</v>
      </c>
      <c r="H518" s="9">
        <v>47498836</v>
      </c>
      <c r="I518" s="9" t="s">
        <v>0</v>
      </c>
      <c r="J518" s="9" t="s">
        <v>0</v>
      </c>
      <c r="K518" s="13">
        <v>2944</v>
      </c>
      <c r="L518" s="9">
        <v>47498836</v>
      </c>
    </row>
    <row r="519" spans="1:12" ht="16.5" customHeight="1">
      <c r="A519" s="1"/>
      <c r="B519" s="23" t="s">
        <v>7</v>
      </c>
      <c r="C519" s="207" t="s">
        <v>146</v>
      </c>
      <c r="D519" s="4" t="s">
        <v>19</v>
      </c>
      <c r="E519" s="3">
        <v>5.8</v>
      </c>
      <c r="F519" s="12" t="s">
        <v>16</v>
      </c>
      <c r="G519" s="10">
        <v>1458</v>
      </c>
      <c r="H519" s="9">
        <v>47498836</v>
      </c>
      <c r="I519" s="11" t="s">
        <v>0</v>
      </c>
      <c r="J519" s="9" t="s">
        <v>0</v>
      </c>
      <c r="K519" s="10">
        <v>1571</v>
      </c>
      <c r="L519" s="9">
        <v>47498836</v>
      </c>
    </row>
    <row r="520" spans="1:12" ht="16.5" customHeight="1">
      <c r="A520" s="1"/>
      <c r="B520" s="196" t="s">
        <v>4</v>
      </c>
      <c r="C520" s="205" t="s">
        <v>146</v>
      </c>
      <c r="D520" s="8" t="s">
        <v>3</v>
      </c>
      <c r="E520" s="7">
        <v>4.5</v>
      </c>
      <c r="F520" s="15" t="s">
        <v>16</v>
      </c>
      <c r="G520" s="197">
        <f>$E520</f>
        <v>4.5</v>
      </c>
      <c r="H520" s="14">
        <v>47498837</v>
      </c>
      <c r="I520" s="14" t="s">
        <v>0</v>
      </c>
      <c r="J520" s="14" t="s">
        <v>0</v>
      </c>
      <c r="K520" s="197">
        <f>$E520</f>
        <v>4.5</v>
      </c>
      <c r="L520" s="14">
        <v>47498837</v>
      </c>
    </row>
    <row r="521" spans="1:12" ht="16.5" customHeight="1">
      <c r="A521" s="1"/>
      <c r="B521" s="1" t="s">
        <v>11</v>
      </c>
      <c r="C521" s="206" t="s">
        <v>146</v>
      </c>
      <c r="D521" s="6" t="s">
        <v>3</v>
      </c>
      <c r="E521" s="5">
        <v>4.5</v>
      </c>
      <c r="F521" s="12" t="s">
        <v>16</v>
      </c>
      <c r="G521" s="13">
        <v>1400</v>
      </c>
      <c r="H521" s="9">
        <v>47498837</v>
      </c>
      <c r="I521" s="9" t="s">
        <v>0</v>
      </c>
      <c r="J521" s="9" t="s">
        <v>0</v>
      </c>
      <c r="K521" s="13">
        <v>1110</v>
      </c>
      <c r="L521" s="9">
        <v>47498837</v>
      </c>
    </row>
    <row r="522" spans="1:12" ht="16.5" customHeight="1">
      <c r="A522" s="1"/>
      <c r="B522" s="1" t="s">
        <v>10</v>
      </c>
      <c r="C522" s="206" t="s">
        <v>146</v>
      </c>
      <c r="D522" s="6" t="s">
        <v>3</v>
      </c>
      <c r="E522" s="5">
        <v>4.5</v>
      </c>
      <c r="F522" s="12" t="s">
        <v>16</v>
      </c>
      <c r="G522" s="13">
        <v>2850</v>
      </c>
      <c r="H522" s="9">
        <v>47498837</v>
      </c>
      <c r="I522" s="13" t="s">
        <v>0</v>
      </c>
      <c r="J522" s="9" t="s">
        <v>0</v>
      </c>
      <c r="K522" s="13">
        <v>2850</v>
      </c>
      <c r="L522" s="9">
        <v>47498837</v>
      </c>
    </row>
    <row r="523" spans="1:12" ht="16.5" customHeight="1">
      <c r="A523" s="1"/>
      <c r="B523" s="1" t="s">
        <v>9</v>
      </c>
      <c r="C523" s="206" t="s">
        <v>146</v>
      </c>
      <c r="D523" s="6" t="s">
        <v>3</v>
      </c>
      <c r="E523" s="5">
        <v>4.5</v>
      </c>
      <c r="F523" s="12" t="s">
        <v>16</v>
      </c>
      <c r="G523" s="13">
        <v>2380</v>
      </c>
      <c r="H523" s="9">
        <v>47498837</v>
      </c>
      <c r="I523" s="13" t="s">
        <v>0</v>
      </c>
      <c r="J523" s="9" t="s">
        <v>0</v>
      </c>
      <c r="K523" s="13">
        <v>2380</v>
      </c>
      <c r="L523" s="9">
        <v>47498837</v>
      </c>
    </row>
    <row r="524" spans="1:12" ht="16.5" customHeight="1">
      <c r="A524" s="1"/>
      <c r="B524" s="1" t="s">
        <v>8</v>
      </c>
      <c r="C524" s="206" t="s">
        <v>146</v>
      </c>
      <c r="D524" s="6" t="s">
        <v>3</v>
      </c>
      <c r="E524" s="5">
        <v>4.5</v>
      </c>
      <c r="F524" s="12" t="s">
        <v>16</v>
      </c>
      <c r="G524" s="13">
        <v>2626</v>
      </c>
      <c r="H524" s="9">
        <v>47498837</v>
      </c>
      <c r="I524" s="9" t="s">
        <v>0</v>
      </c>
      <c r="J524" s="9" t="s">
        <v>0</v>
      </c>
      <c r="K524" s="13">
        <v>3068</v>
      </c>
      <c r="L524" s="9">
        <v>47498837</v>
      </c>
    </row>
    <row r="525" spans="1:12" ht="16.5" customHeight="1">
      <c r="A525" s="1"/>
      <c r="B525" s="23" t="s">
        <v>7</v>
      </c>
      <c r="C525" s="207" t="s">
        <v>146</v>
      </c>
      <c r="D525" s="4" t="s">
        <v>3</v>
      </c>
      <c r="E525" s="3">
        <v>4.5</v>
      </c>
      <c r="F525" s="12" t="s">
        <v>16</v>
      </c>
      <c r="G525" s="10">
        <v>1313</v>
      </c>
      <c r="H525" s="9">
        <v>47498837</v>
      </c>
      <c r="I525" s="11" t="s">
        <v>0</v>
      </c>
      <c r="J525" s="9" t="s">
        <v>0</v>
      </c>
      <c r="K525" s="10">
        <v>1425</v>
      </c>
      <c r="L525" s="9">
        <v>47498837</v>
      </c>
    </row>
    <row r="526" spans="1:12" ht="16.5" customHeight="1">
      <c r="A526" s="1"/>
      <c r="B526" s="196" t="s">
        <v>4</v>
      </c>
      <c r="C526" s="205" t="s">
        <v>146</v>
      </c>
      <c r="D526" s="8" t="s">
        <v>3</v>
      </c>
      <c r="E526" s="7">
        <v>5.3</v>
      </c>
      <c r="F526" s="15" t="s">
        <v>16</v>
      </c>
      <c r="G526" s="197">
        <f>$E526</f>
        <v>5.3</v>
      </c>
      <c r="H526" s="14">
        <v>47498839</v>
      </c>
      <c r="I526" s="14" t="s">
        <v>0</v>
      </c>
      <c r="J526" s="14" t="s">
        <v>0</v>
      </c>
      <c r="K526" s="197">
        <f>$E526</f>
        <v>5.3</v>
      </c>
      <c r="L526" s="14">
        <v>47498839</v>
      </c>
    </row>
    <row r="527" spans="1:12" ht="16.5" customHeight="1">
      <c r="A527" s="1"/>
      <c r="B527" s="1" t="s">
        <v>11</v>
      </c>
      <c r="C527" s="206" t="s">
        <v>146</v>
      </c>
      <c r="D527" s="6" t="s">
        <v>3</v>
      </c>
      <c r="E527" s="5">
        <v>5.3</v>
      </c>
      <c r="F527" s="12" t="s">
        <v>16</v>
      </c>
      <c r="G527" s="13">
        <v>1170</v>
      </c>
      <c r="H527" s="9">
        <v>47498839</v>
      </c>
      <c r="I527" s="9" t="s">
        <v>0</v>
      </c>
      <c r="J527" s="9" t="s">
        <v>0</v>
      </c>
      <c r="K527" s="13">
        <v>925</v>
      </c>
      <c r="L527" s="9">
        <v>47498839</v>
      </c>
    </row>
    <row r="528" spans="1:12" ht="16.5" customHeight="1">
      <c r="A528" s="1"/>
      <c r="B528" s="1" t="s">
        <v>10</v>
      </c>
      <c r="C528" s="206" t="s">
        <v>146</v>
      </c>
      <c r="D528" s="6" t="s">
        <v>3</v>
      </c>
      <c r="E528" s="5">
        <v>5.3</v>
      </c>
      <c r="F528" s="12" t="s">
        <v>16</v>
      </c>
      <c r="G528" s="13">
        <v>2850</v>
      </c>
      <c r="H528" s="9">
        <v>47498839</v>
      </c>
      <c r="I528" s="13" t="s">
        <v>0</v>
      </c>
      <c r="J528" s="9" t="s">
        <v>0</v>
      </c>
      <c r="K528" s="13">
        <v>2850</v>
      </c>
      <c r="L528" s="9">
        <v>47498839</v>
      </c>
    </row>
    <row r="529" spans="1:12" ht="16.5" customHeight="1">
      <c r="A529" s="1"/>
      <c r="B529" s="1" t="s">
        <v>9</v>
      </c>
      <c r="C529" s="206" t="s">
        <v>146</v>
      </c>
      <c r="D529" s="6" t="s">
        <v>3</v>
      </c>
      <c r="E529" s="5">
        <v>5.3</v>
      </c>
      <c r="F529" s="12" t="s">
        <v>16</v>
      </c>
      <c r="G529" s="13">
        <v>2550</v>
      </c>
      <c r="H529" s="9">
        <v>47498839</v>
      </c>
      <c r="I529" s="13" t="s">
        <v>0</v>
      </c>
      <c r="J529" s="9" t="s">
        <v>0</v>
      </c>
      <c r="K529" s="13">
        <v>2550</v>
      </c>
      <c r="L529" s="9">
        <v>47498839</v>
      </c>
    </row>
    <row r="530" spans="1:12" ht="16.5" customHeight="1">
      <c r="A530" s="1"/>
      <c r="B530" s="1" t="s">
        <v>8</v>
      </c>
      <c r="C530" s="206" t="s">
        <v>146</v>
      </c>
      <c r="D530" s="6" t="s">
        <v>3</v>
      </c>
      <c r="E530" s="5">
        <v>5.3</v>
      </c>
      <c r="F530" s="12" t="s">
        <v>16</v>
      </c>
      <c r="G530" s="13">
        <v>2626</v>
      </c>
      <c r="H530" s="9">
        <v>47498839</v>
      </c>
      <c r="I530" s="9" t="s">
        <v>0</v>
      </c>
      <c r="J530" s="9" t="s">
        <v>0</v>
      </c>
      <c r="K530" s="13">
        <v>3067</v>
      </c>
      <c r="L530" s="9">
        <v>47498839</v>
      </c>
    </row>
    <row r="531" spans="1:12" ht="16.5" customHeight="1">
      <c r="A531" s="1"/>
      <c r="B531" s="23" t="s">
        <v>7</v>
      </c>
      <c r="C531" s="207" t="s">
        <v>146</v>
      </c>
      <c r="D531" s="4" t="s">
        <v>3</v>
      </c>
      <c r="E531" s="3">
        <v>5.3</v>
      </c>
      <c r="F531" s="12" t="s">
        <v>16</v>
      </c>
      <c r="G531" s="10">
        <v>1313</v>
      </c>
      <c r="H531" s="9">
        <v>47498839</v>
      </c>
      <c r="I531" s="11" t="s">
        <v>0</v>
      </c>
      <c r="J531" s="9" t="s">
        <v>0</v>
      </c>
      <c r="K531" s="10">
        <v>1425</v>
      </c>
      <c r="L531" s="9">
        <v>47498839</v>
      </c>
    </row>
    <row r="532" spans="1:12" ht="16.5" customHeight="1">
      <c r="A532" s="1"/>
      <c r="B532" s="196" t="s">
        <v>4</v>
      </c>
      <c r="C532" s="205" t="s">
        <v>146</v>
      </c>
      <c r="D532" s="8" t="s">
        <v>3</v>
      </c>
      <c r="E532" s="7">
        <v>5.8</v>
      </c>
      <c r="F532" s="15" t="s">
        <v>16</v>
      </c>
      <c r="G532" s="197">
        <f>$E532</f>
        <v>5.8</v>
      </c>
      <c r="H532" s="14">
        <v>47498840</v>
      </c>
      <c r="I532" s="14" t="s">
        <v>0</v>
      </c>
      <c r="J532" s="14" t="s">
        <v>0</v>
      </c>
      <c r="K532" s="197">
        <f>$E532</f>
        <v>5.8</v>
      </c>
      <c r="L532" s="14">
        <v>47498840</v>
      </c>
    </row>
    <row r="533" spans="1:12" ht="16.5" customHeight="1">
      <c r="A533" s="1"/>
      <c r="B533" s="1" t="s">
        <v>11</v>
      </c>
      <c r="C533" s="206" t="s">
        <v>146</v>
      </c>
      <c r="D533" s="6" t="s">
        <v>3</v>
      </c>
      <c r="E533" s="5">
        <v>5.8</v>
      </c>
      <c r="F533" s="12" t="s">
        <v>16</v>
      </c>
      <c r="G533" s="13">
        <v>1050</v>
      </c>
      <c r="H533" s="9">
        <v>47498840</v>
      </c>
      <c r="I533" s="9" t="s">
        <v>0</v>
      </c>
      <c r="J533" s="9" t="s">
        <v>0</v>
      </c>
      <c r="K533" s="13">
        <v>830</v>
      </c>
      <c r="L533" s="9">
        <v>47498840</v>
      </c>
    </row>
    <row r="534" spans="1:12" ht="16.5" customHeight="1">
      <c r="A534" s="1"/>
      <c r="B534" s="1" t="s">
        <v>10</v>
      </c>
      <c r="C534" s="206" t="s">
        <v>146</v>
      </c>
      <c r="D534" s="6" t="s">
        <v>3</v>
      </c>
      <c r="E534" s="5">
        <v>5.8</v>
      </c>
      <c r="F534" s="12" t="s">
        <v>16</v>
      </c>
      <c r="G534" s="13">
        <v>3000</v>
      </c>
      <c r="H534" s="9">
        <v>47498840</v>
      </c>
      <c r="I534" s="13" t="s">
        <v>0</v>
      </c>
      <c r="J534" s="9" t="s">
        <v>0</v>
      </c>
      <c r="K534" s="13">
        <v>3000</v>
      </c>
      <c r="L534" s="9">
        <v>47498840</v>
      </c>
    </row>
    <row r="535" spans="1:12" ht="16.5" customHeight="1">
      <c r="A535" s="1"/>
      <c r="B535" s="1" t="s">
        <v>9</v>
      </c>
      <c r="C535" s="206" t="s">
        <v>146</v>
      </c>
      <c r="D535" s="6" t="s">
        <v>3</v>
      </c>
      <c r="E535" s="5">
        <v>5.8</v>
      </c>
      <c r="F535" s="12" t="s">
        <v>16</v>
      </c>
      <c r="G535" s="13">
        <v>2750</v>
      </c>
      <c r="H535" s="9">
        <v>47498840</v>
      </c>
      <c r="I535" s="13" t="s">
        <v>0</v>
      </c>
      <c r="J535" s="9" t="s">
        <v>0</v>
      </c>
      <c r="K535" s="13">
        <v>2750</v>
      </c>
      <c r="L535" s="9">
        <v>47498840</v>
      </c>
    </row>
    <row r="536" spans="1:12" ht="16.5" customHeight="1">
      <c r="A536" s="1"/>
      <c r="B536" s="1" t="s">
        <v>8</v>
      </c>
      <c r="C536" s="206" t="s">
        <v>146</v>
      </c>
      <c r="D536" s="6" t="s">
        <v>3</v>
      </c>
      <c r="E536" s="5">
        <v>5.8</v>
      </c>
      <c r="F536" s="12" t="s">
        <v>16</v>
      </c>
      <c r="G536" s="13">
        <v>2625</v>
      </c>
      <c r="H536" s="9">
        <v>47498840</v>
      </c>
      <c r="I536" s="9" t="s">
        <v>0</v>
      </c>
      <c r="J536" s="9" t="s">
        <v>0</v>
      </c>
      <c r="K536" s="13">
        <v>3067</v>
      </c>
      <c r="L536" s="9">
        <v>47498840</v>
      </c>
    </row>
    <row r="537" spans="1:12" ht="16.5" customHeight="1">
      <c r="A537" s="1"/>
      <c r="B537" s="23" t="s">
        <v>7</v>
      </c>
      <c r="C537" s="207" t="s">
        <v>146</v>
      </c>
      <c r="D537" s="4" t="s">
        <v>3</v>
      </c>
      <c r="E537" s="3">
        <v>5.8</v>
      </c>
      <c r="F537" s="12" t="s">
        <v>16</v>
      </c>
      <c r="G537" s="10">
        <v>1313</v>
      </c>
      <c r="H537" s="9">
        <v>47498840</v>
      </c>
      <c r="I537" s="11" t="s">
        <v>0</v>
      </c>
      <c r="J537" s="9" t="s">
        <v>0</v>
      </c>
      <c r="K537" s="10">
        <v>1425</v>
      </c>
      <c r="L537" s="9">
        <v>47498840</v>
      </c>
    </row>
    <row r="538" spans="1:12" ht="16.5" customHeight="1">
      <c r="A538" s="1"/>
      <c r="B538" s="1" t="s">
        <v>4</v>
      </c>
      <c r="C538" s="205" t="s">
        <v>147</v>
      </c>
      <c r="D538" s="25" t="s">
        <v>19</v>
      </c>
      <c r="E538" s="201" t="s">
        <v>20</v>
      </c>
      <c r="F538" s="2" t="s">
        <v>16</v>
      </c>
      <c r="G538" s="197" t="str">
        <f t="shared" ref="G538:G543" si="8">$E538</f>
        <v>1,3mc</v>
      </c>
      <c r="H538" s="198">
        <v>47498817</v>
      </c>
      <c r="I538" s="197" t="s">
        <v>0</v>
      </c>
      <c r="J538" s="198" t="s">
        <v>0</v>
      </c>
      <c r="K538" s="197" t="str">
        <f t="shared" ref="K538:K542" si="9">$E538</f>
        <v>1,3mc</v>
      </c>
      <c r="L538" s="198">
        <v>47498817</v>
      </c>
    </row>
    <row r="539" spans="1:12" ht="16.5" customHeight="1">
      <c r="A539" s="1"/>
      <c r="B539" s="1" t="s">
        <v>4</v>
      </c>
      <c r="C539" s="205" t="s">
        <v>147</v>
      </c>
      <c r="D539" s="25" t="s">
        <v>19</v>
      </c>
      <c r="E539" s="201" t="s">
        <v>18</v>
      </c>
      <c r="F539" s="2" t="s">
        <v>16</v>
      </c>
      <c r="G539" s="197" t="str">
        <f t="shared" si="8"/>
        <v>1,8mc</v>
      </c>
      <c r="H539" s="198">
        <v>47498819</v>
      </c>
      <c r="I539" s="197" t="s">
        <v>0</v>
      </c>
      <c r="J539" s="198" t="s">
        <v>0</v>
      </c>
      <c r="K539" s="197" t="str">
        <f t="shared" si="9"/>
        <v>1,8mc</v>
      </c>
      <c r="L539" s="198">
        <v>47498819</v>
      </c>
    </row>
    <row r="540" spans="1:12" ht="16.5" customHeight="1">
      <c r="A540" s="1"/>
      <c r="B540" s="1" t="s">
        <v>4</v>
      </c>
      <c r="C540" s="205" t="s">
        <v>147</v>
      </c>
      <c r="D540" s="8" t="s">
        <v>3</v>
      </c>
      <c r="E540" s="200" t="s">
        <v>17</v>
      </c>
      <c r="F540" s="2" t="s">
        <v>16</v>
      </c>
      <c r="G540" s="197" t="str">
        <f t="shared" si="8"/>
        <v>1,3 mc</v>
      </c>
      <c r="H540" s="198">
        <v>47498821</v>
      </c>
      <c r="I540" s="197" t="s">
        <v>0</v>
      </c>
      <c r="J540" s="198" t="s">
        <v>0</v>
      </c>
      <c r="K540" s="197" t="str">
        <f t="shared" si="9"/>
        <v>1,3 mc</v>
      </c>
      <c r="L540" s="198">
        <v>47498821</v>
      </c>
    </row>
    <row r="541" spans="1:12" ht="16.5" customHeight="1">
      <c r="A541" s="1"/>
      <c r="B541" s="1" t="s">
        <v>4</v>
      </c>
      <c r="C541" s="205" t="s">
        <v>147</v>
      </c>
      <c r="D541" s="25" t="s">
        <v>3</v>
      </c>
      <c r="E541" s="201" t="s">
        <v>6</v>
      </c>
      <c r="F541" s="2" t="s">
        <v>16</v>
      </c>
      <c r="G541" s="197" t="str">
        <f t="shared" si="8"/>
        <v>1,8 mc</v>
      </c>
      <c r="H541" s="198">
        <v>47498822</v>
      </c>
      <c r="I541" s="197" t="s">
        <v>0</v>
      </c>
      <c r="J541" s="198" t="s">
        <v>0</v>
      </c>
      <c r="K541" s="197" t="str">
        <f t="shared" si="9"/>
        <v>1,8 mc</v>
      </c>
      <c r="L541" s="198">
        <v>47498822</v>
      </c>
    </row>
    <row r="542" spans="1:12" ht="16.5" customHeight="1">
      <c r="A542" s="1"/>
      <c r="B542" s="1" t="s">
        <v>4</v>
      </c>
      <c r="C542" s="205" t="s">
        <v>147</v>
      </c>
      <c r="D542" s="25" t="s">
        <v>3</v>
      </c>
      <c r="E542" s="201" t="s">
        <v>5</v>
      </c>
      <c r="F542" s="2" t="s">
        <v>16</v>
      </c>
      <c r="G542" s="197" t="str">
        <f t="shared" si="8"/>
        <v>2,2 mc</v>
      </c>
      <c r="H542" s="198">
        <v>47498829</v>
      </c>
      <c r="I542" s="197" t="s">
        <v>0</v>
      </c>
      <c r="J542" s="198" t="s">
        <v>0</v>
      </c>
      <c r="K542" s="197" t="str">
        <f t="shared" si="9"/>
        <v>2,2 mc</v>
      </c>
      <c r="L542" s="198">
        <v>47498829</v>
      </c>
    </row>
    <row r="543" spans="1:12" ht="16.5" customHeight="1">
      <c r="A543" s="1"/>
      <c r="B543" s="196" t="s">
        <v>4</v>
      </c>
      <c r="C543" s="8" t="s">
        <v>13</v>
      </c>
      <c r="D543" s="8" t="s">
        <v>3</v>
      </c>
      <c r="E543" s="7">
        <v>7.5</v>
      </c>
      <c r="F543" s="15" t="s">
        <v>15</v>
      </c>
      <c r="G543" s="211">
        <f t="shared" si="8"/>
        <v>7.5</v>
      </c>
      <c r="H543" s="212">
        <v>47812769</v>
      </c>
      <c r="I543" s="14" t="s">
        <v>0</v>
      </c>
      <c r="J543" s="14" t="s">
        <v>0</v>
      </c>
      <c r="K543" s="212" t="s">
        <v>0</v>
      </c>
      <c r="L543" s="212" t="s">
        <v>0</v>
      </c>
    </row>
    <row r="544" spans="1:12" ht="16.5" customHeight="1">
      <c r="A544" s="1"/>
      <c r="B544" s="1" t="s">
        <v>11</v>
      </c>
      <c r="C544" s="6" t="s">
        <v>13</v>
      </c>
      <c r="D544" s="6" t="s">
        <v>3</v>
      </c>
      <c r="E544" s="5">
        <v>7.5</v>
      </c>
      <c r="F544" s="12" t="s">
        <v>15</v>
      </c>
      <c r="G544" s="213">
        <v>1020</v>
      </c>
      <c r="H544" s="214">
        <v>47812769</v>
      </c>
      <c r="I544" s="9" t="s">
        <v>0</v>
      </c>
      <c r="J544" s="9" t="s">
        <v>0</v>
      </c>
      <c r="K544" s="214" t="s">
        <v>0</v>
      </c>
      <c r="L544" s="214" t="s">
        <v>0</v>
      </c>
    </row>
    <row r="545" spans="1:12" ht="16.5" customHeight="1">
      <c r="A545" s="1"/>
      <c r="B545" s="1" t="s">
        <v>10</v>
      </c>
      <c r="C545" s="6" t="s">
        <v>13</v>
      </c>
      <c r="D545" s="6" t="s">
        <v>3</v>
      </c>
      <c r="E545" s="5">
        <v>7.5</v>
      </c>
      <c r="F545" s="12" t="s">
        <v>15</v>
      </c>
      <c r="G545" s="213">
        <v>3200</v>
      </c>
      <c r="H545" s="214">
        <v>47812769</v>
      </c>
      <c r="I545" s="13" t="s">
        <v>0</v>
      </c>
      <c r="J545" s="9" t="s">
        <v>0</v>
      </c>
      <c r="K545" s="214" t="s">
        <v>0</v>
      </c>
      <c r="L545" s="214" t="s">
        <v>0</v>
      </c>
    </row>
    <row r="546" spans="1:12" ht="16.5" customHeight="1">
      <c r="A546" s="1"/>
      <c r="B546" s="1" t="s">
        <v>9</v>
      </c>
      <c r="C546" s="6" t="s">
        <v>13</v>
      </c>
      <c r="D546" s="6" t="s">
        <v>3</v>
      </c>
      <c r="E546" s="5">
        <v>7.5</v>
      </c>
      <c r="F546" s="12" t="s">
        <v>15</v>
      </c>
      <c r="G546" s="213">
        <v>2650</v>
      </c>
      <c r="H546" s="214">
        <v>47812769</v>
      </c>
      <c r="I546" s="13" t="s">
        <v>0</v>
      </c>
      <c r="J546" s="9" t="s">
        <v>0</v>
      </c>
      <c r="K546" s="214" t="s">
        <v>0</v>
      </c>
      <c r="L546" s="214" t="s">
        <v>0</v>
      </c>
    </row>
    <row r="547" spans="1:12" ht="16.5" customHeight="1">
      <c r="A547" s="1"/>
      <c r="B547" s="1" t="s">
        <v>8</v>
      </c>
      <c r="C547" s="6" t="s">
        <v>13</v>
      </c>
      <c r="D547" s="6" t="s">
        <v>3</v>
      </c>
      <c r="E547" s="5">
        <v>7.5</v>
      </c>
      <c r="F547" s="12" t="s">
        <v>15</v>
      </c>
      <c r="G547" s="213">
        <v>2687</v>
      </c>
      <c r="H547" s="214">
        <v>47812769</v>
      </c>
      <c r="I547" s="9" t="s">
        <v>0</v>
      </c>
      <c r="J547" s="9" t="s">
        <v>0</v>
      </c>
      <c r="K547" s="214" t="s">
        <v>0</v>
      </c>
      <c r="L547" s="214" t="s">
        <v>0</v>
      </c>
    </row>
    <row r="548" spans="1:12" ht="16.5" customHeight="1">
      <c r="A548" s="1"/>
      <c r="B548" s="23" t="s">
        <v>7</v>
      </c>
      <c r="C548" s="4" t="s">
        <v>13</v>
      </c>
      <c r="D548" s="4" t="s">
        <v>3</v>
      </c>
      <c r="E548" s="3">
        <v>7.5</v>
      </c>
      <c r="F548" s="12" t="s">
        <v>15</v>
      </c>
      <c r="G548" s="215">
        <v>1628</v>
      </c>
      <c r="H548" s="214">
        <v>47812769</v>
      </c>
      <c r="I548" s="11" t="s">
        <v>0</v>
      </c>
      <c r="J548" s="9" t="s">
        <v>0</v>
      </c>
      <c r="K548" s="214" t="s">
        <v>0</v>
      </c>
      <c r="L548" s="214" t="s">
        <v>0</v>
      </c>
    </row>
    <row r="549" spans="1:12" ht="16.5" customHeight="1">
      <c r="A549" s="1"/>
      <c r="B549" s="196" t="s">
        <v>4</v>
      </c>
      <c r="C549" s="8" t="s">
        <v>13</v>
      </c>
      <c r="D549" s="8" t="s">
        <v>3</v>
      </c>
      <c r="E549" s="7">
        <v>9</v>
      </c>
      <c r="F549" s="15" t="s">
        <v>15</v>
      </c>
      <c r="G549" s="197">
        <f>$E549</f>
        <v>9</v>
      </c>
      <c r="H549" s="212">
        <v>47812770</v>
      </c>
      <c r="I549" s="14" t="s">
        <v>0</v>
      </c>
      <c r="J549" s="14" t="s">
        <v>0</v>
      </c>
      <c r="K549" s="212" t="s">
        <v>0</v>
      </c>
      <c r="L549" s="212" t="s">
        <v>0</v>
      </c>
    </row>
    <row r="550" spans="1:12" ht="16.5" customHeight="1">
      <c r="A550" s="1"/>
      <c r="B550" s="1" t="s">
        <v>11</v>
      </c>
      <c r="C550" s="6" t="s">
        <v>13</v>
      </c>
      <c r="D550" s="6" t="s">
        <v>3</v>
      </c>
      <c r="E550" s="5">
        <v>9</v>
      </c>
      <c r="F550" s="12" t="s">
        <v>15</v>
      </c>
      <c r="G550" s="213">
        <v>846</v>
      </c>
      <c r="H550" s="214">
        <v>47812770</v>
      </c>
      <c r="I550" s="9" t="s">
        <v>0</v>
      </c>
      <c r="J550" s="9" t="s">
        <v>0</v>
      </c>
      <c r="K550" s="214" t="s">
        <v>0</v>
      </c>
      <c r="L550" s="214" t="s">
        <v>0</v>
      </c>
    </row>
    <row r="551" spans="1:12" ht="16.5" customHeight="1">
      <c r="A551" s="1"/>
      <c r="B551" s="1" t="s">
        <v>10</v>
      </c>
      <c r="C551" s="6" t="s">
        <v>13</v>
      </c>
      <c r="D551" s="6" t="s">
        <v>3</v>
      </c>
      <c r="E551" s="5">
        <v>9</v>
      </c>
      <c r="F551" s="12" t="s">
        <v>15</v>
      </c>
      <c r="G551" s="213">
        <v>3000</v>
      </c>
      <c r="H551" s="214">
        <v>47812770</v>
      </c>
      <c r="I551" s="13" t="s">
        <v>0</v>
      </c>
      <c r="J551" s="9" t="s">
        <v>0</v>
      </c>
      <c r="K551" s="214" t="s">
        <v>0</v>
      </c>
      <c r="L551" s="214" t="s">
        <v>0</v>
      </c>
    </row>
    <row r="552" spans="1:12" ht="16.5" customHeight="1">
      <c r="A552" s="1"/>
      <c r="B552" s="1" t="s">
        <v>9</v>
      </c>
      <c r="C552" s="6" t="s">
        <v>13</v>
      </c>
      <c r="D552" s="6" t="s">
        <v>3</v>
      </c>
      <c r="E552" s="5">
        <v>9</v>
      </c>
      <c r="F552" s="12" t="s">
        <v>15</v>
      </c>
      <c r="G552" s="213">
        <v>2700</v>
      </c>
      <c r="H552" s="214">
        <v>47812770</v>
      </c>
      <c r="I552" s="13" t="s">
        <v>0</v>
      </c>
      <c r="J552" s="9" t="s">
        <v>0</v>
      </c>
      <c r="K552" s="214" t="s">
        <v>0</v>
      </c>
      <c r="L552" s="214" t="s">
        <v>0</v>
      </c>
    </row>
    <row r="553" spans="1:12" ht="16.5" customHeight="1">
      <c r="A553" s="1"/>
      <c r="B553" s="1" t="s">
        <v>8</v>
      </c>
      <c r="C553" s="6" t="s">
        <v>13</v>
      </c>
      <c r="D553" s="6" t="s">
        <v>3</v>
      </c>
      <c r="E553" s="5">
        <v>9</v>
      </c>
      <c r="F553" s="12" t="s">
        <v>15</v>
      </c>
      <c r="G553" s="213">
        <v>2408</v>
      </c>
      <c r="H553" s="214">
        <v>47812770</v>
      </c>
      <c r="I553" s="9" t="s">
        <v>0</v>
      </c>
      <c r="J553" s="9" t="s">
        <v>0</v>
      </c>
      <c r="K553" s="214" t="s">
        <v>0</v>
      </c>
      <c r="L553" s="214" t="s">
        <v>0</v>
      </c>
    </row>
    <row r="554" spans="1:12" ht="16.5" customHeight="1">
      <c r="A554" s="1"/>
      <c r="B554" s="23" t="s">
        <v>7</v>
      </c>
      <c r="C554" s="4" t="s">
        <v>13</v>
      </c>
      <c r="D554" s="4" t="s">
        <v>3</v>
      </c>
      <c r="E554" s="3">
        <v>9</v>
      </c>
      <c r="F554" s="12" t="s">
        <v>15</v>
      </c>
      <c r="G554" s="215">
        <v>1685</v>
      </c>
      <c r="H554" s="214">
        <v>47812770</v>
      </c>
      <c r="I554" s="11" t="s">
        <v>0</v>
      </c>
      <c r="J554" s="9" t="s">
        <v>0</v>
      </c>
      <c r="K554" s="214" t="s">
        <v>0</v>
      </c>
      <c r="L554" s="214" t="s">
        <v>0</v>
      </c>
    </row>
    <row r="555" spans="1:12" s="217" customFormat="1" ht="16.5" customHeight="1">
      <c r="B555" s="218" t="s">
        <v>4</v>
      </c>
      <c r="C555" s="205" t="s">
        <v>13</v>
      </c>
      <c r="D555" s="205" t="s">
        <v>3</v>
      </c>
      <c r="E555" s="219">
        <v>10</v>
      </c>
      <c r="F555" s="220" t="s">
        <v>15</v>
      </c>
      <c r="G555" s="212" t="s">
        <v>0</v>
      </c>
      <c r="H555" s="212" t="s">
        <v>0</v>
      </c>
      <c r="I555" s="212" t="s">
        <v>0</v>
      </c>
      <c r="J555" s="212" t="s">
        <v>0</v>
      </c>
      <c r="K555" s="212" t="s">
        <v>0</v>
      </c>
      <c r="L555" s="212" t="s">
        <v>0</v>
      </c>
    </row>
    <row r="556" spans="1:12" s="217" customFormat="1" ht="16.5" customHeight="1">
      <c r="B556" s="217" t="s">
        <v>11</v>
      </c>
      <c r="C556" s="206" t="s">
        <v>13</v>
      </c>
      <c r="D556" s="206" t="s">
        <v>3</v>
      </c>
      <c r="E556" s="221">
        <v>10</v>
      </c>
      <c r="F556" s="222" t="s">
        <v>15</v>
      </c>
      <c r="G556" s="214" t="s">
        <v>0</v>
      </c>
      <c r="H556" s="214" t="s">
        <v>0</v>
      </c>
      <c r="I556" s="214" t="s">
        <v>0</v>
      </c>
      <c r="J556" s="214" t="s">
        <v>0</v>
      </c>
      <c r="K556" s="214" t="s">
        <v>0</v>
      </c>
      <c r="L556" s="214" t="s">
        <v>0</v>
      </c>
    </row>
    <row r="557" spans="1:12" s="217" customFormat="1" ht="16.5" customHeight="1">
      <c r="B557" s="217" t="s">
        <v>10</v>
      </c>
      <c r="C557" s="206" t="s">
        <v>13</v>
      </c>
      <c r="D557" s="206" t="s">
        <v>3</v>
      </c>
      <c r="E557" s="221">
        <v>10</v>
      </c>
      <c r="F557" s="222" t="s">
        <v>15</v>
      </c>
      <c r="G557" s="213" t="s">
        <v>0</v>
      </c>
      <c r="H557" s="213" t="s">
        <v>0</v>
      </c>
      <c r="I557" s="213" t="s">
        <v>0</v>
      </c>
      <c r="J557" s="213" t="s">
        <v>0</v>
      </c>
      <c r="K557" s="213" t="s">
        <v>0</v>
      </c>
      <c r="L557" s="213" t="s">
        <v>0</v>
      </c>
    </row>
    <row r="558" spans="1:12" s="217" customFormat="1" ht="16.5" customHeight="1">
      <c r="B558" s="217" t="s">
        <v>9</v>
      </c>
      <c r="C558" s="206" t="s">
        <v>13</v>
      </c>
      <c r="D558" s="206" t="s">
        <v>3</v>
      </c>
      <c r="E558" s="221">
        <v>10</v>
      </c>
      <c r="F558" s="222" t="s">
        <v>15</v>
      </c>
      <c r="G558" s="213" t="s">
        <v>0</v>
      </c>
      <c r="H558" s="213" t="s">
        <v>0</v>
      </c>
      <c r="I558" s="213" t="s">
        <v>0</v>
      </c>
      <c r="J558" s="213" t="s">
        <v>0</v>
      </c>
      <c r="K558" s="213" t="s">
        <v>0</v>
      </c>
      <c r="L558" s="213" t="s">
        <v>0</v>
      </c>
    </row>
    <row r="559" spans="1:12" s="217" customFormat="1" ht="16.5" customHeight="1">
      <c r="B559" s="217" t="s">
        <v>8</v>
      </c>
      <c r="C559" s="206" t="s">
        <v>13</v>
      </c>
      <c r="D559" s="206" t="s">
        <v>3</v>
      </c>
      <c r="E559" s="221">
        <v>10</v>
      </c>
      <c r="F559" s="222" t="s">
        <v>15</v>
      </c>
      <c r="G559" s="214" t="s">
        <v>0</v>
      </c>
      <c r="H559" s="214" t="s">
        <v>0</v>
      </c>
      <c r="I559" s="214" t="s">
        <v>0</v>
      </c>
      <c r="J559" s="214" t="s">
        <v>0</v>
      </c>
      <c r="K559" s="214" t="s">
        <v>0</v>
      </c>
      <c r="L559" s="214" t="s">
        <v>0</v>
      </c>
    </row>
    <row r="560" spans="1:12" s="217" customFormat="1" ht="16.5" customHeight="1">
      <c r="B560" s="223" t="s">
        <v>7</v>
      </c>
      <c r="C560" s="207" t="s">
        <v>13</v>
      </c>
      <c r="D560" s="207" t="s">
        <v>3</v>
      </c>
      <c r="E560" s="224">
        <v>10</v>
      </c>
      <c r="F560" s="222" t="s">
        <v>15</v>
      </c>
      <c r="G560" s="216" t="s">
        <v>0</v>
      </c>
      <c r="H560" s="216" t="s">
        <v>0</v>
      </c>
      <c r="I560" s="216" t="s">
        <v>0</v>
      </c>
      <c r="J560" s="216" t="s">
        <v>0</v>
      </c>
      <c r="K560" s="216" t="s">
        <v>0</v>
      </c>
      <c r="L560" s="216" t="s">
        <v>0</v>
      </c>
    </row>
    <row r="561" spans="1:12" s="217" customFormat="1" ht="16.5" customHeight="1">
      <c r="B561" s="218" t="s">
        <v>4</v>
      </c>
      <c r="C561" s="205" t="s">
        <v>13</v>
      </c>
      <c r="D561" s="205" t="s">
        <v>3</v>
      </c>
      <c r="E561" s="219">
        <v>12</v>
      </c>
      <c r="F561" s="220" t="s">
        <v>15</v>
      </c>
      <c r="G561" s="212" t="s">
        <v>0</v>
      </c>
      <c r="H561" s="212" t="s">
        <v>0</v>
      </c>
      <c r="I561" s="212" t="s">
        <v>0</v>
      </c>
      <c r="J561" s="212" t="s">
        <v>0</v>
      </c>
      <c r="K561" s="212" t="s">
        <v>0</v>
      </c>
      <c r="L561" s="212" t="s">
        <v>0</v>
      </c>
    </row>
    <row r="562" spans="1:12" s="217" customFormat="1" ht="16.5" customHeight="1">
      <c r="B562" s="217" t="s">
        <v>11</v>
      </c>
      <c r="C562" s="206" t="s">
        <v>13</v>
      </c>
      <c r="D562" s="206" t="s">
        <v>3</v>
      </c>
      <c r="E562" s="221">
        <v>12</v>
      </c>
      <c r="F562" s="222" t="s">
        <v>15</v>
      </c>
      <c r="G562" s="214" t="s">
        <v>0</v>
      </c>
      <c r="H562" s="214" t="s">
        <v>0</v>
      </c>
      <c r="I562" s="214" t="s">
        <v>0</v>
      </c>
      <c r="J562" s="214" t="s">
        <v>0</v>
      </c>
      <c r="K562" s="214" t="s">
        <v>0</v>
      </c>
      <c r="L562" s="214" t="s">
        <v>0</v>
      </c>
    </row>
    <row r="563" spans="1:12" s="217" customFormat="1" ht="16.5" customHeight="1">
      <c r="B563" s="217" t="s">
        <v>10</v>
      </c>
      <c r="C563" s="206" t="s">
        <v>13</v>
      </c>
      <c r="D563" s="206" t="s">
        <v>3</v>
      </c>
      <c r="E563" s="221">
        <v>12</v>
      </c>
      <c r="F563" s="222" t="s">
        <v>15</v>
      </c>
      <c r="G563" s="213" t="s">
        <v>0</v>
      </c>
      <c r="H563" s="213" t="s">
        <v>0</v>
      </c>
      <c r="I563" s="213" t="s">
        <v>0</v>
      </c>
      <c r="J563" s="213" t="s">
        <v>0</v>
      </c>
      <c r="K563" s="213" t="s">
        <v>0</v>
      </c>
      <c r="L563" s="213" t="s">
        <v>0</v>
      </c>
    </row>
    <row r="564" spans="1:12" s="217" customFormat="1" ht="16.5" customHeight="1">
      <c r="B564" s="217" t="s">
        <v>9</v>
      </c>
      <c r="C564" s="206" t="s">
        <v>13</v>
      </c>
      <c r="D564" s="206" t="s">
        <v>3</v>
      </c>
      <c r="E564" s="221">
        <v>12</v>
      </c>
      <c r="F564" s="222" t="s">
        <v>15</v>
      </c>
      <c r="G564" s="213" t="s">
        <v>0</v>
      </c>
      <c r="H564" s="213" t="s">
        <v>0</v>
      </c>
      <c r="I564" s="213" t="s">
        <v>0</v>
      </c>
      <c r="J564" s="213" t="s">
        <v>0</v>
      </c>
      <c r="K564" s="213" t="s">
        <v>0</v>
      </c>
      <c r="L564" s="213" t="s">
        <v>0</v>
      </c>
    </row>
    <row r="565" spans="1:12" s="217" customFormat="1" ht="16.5" customHeight="1">
      <c r="B565" s="217" t="s">
        <v>8</v>
      </c>
      <c r="C565" s="206" t="s">
        <v>13</v>
      </c>
      <c r="D565" s="206" t="s">
        <v>3</v>
      </c>
      <c r="E565" s="221">
        <v>12</v>
      </c>
      <c r="F565" s="222" t="s">
        <v>15</v>
      </c>
      <c r="G565" s="214" t="s">
        <v>0</v>
      </c>
      <c r="H565" s="214" t="s">
        <v>0</v>
      </c>
      <c r="I565" s="214" t="s">
        <v>0</v>
      </c>
      <c r="J565" s="214" t="s">
        <v>0</v>
      </c>
      <c r="K565" s="214" t="s">
        <v>0</v>
      </c>
      <c r="L565" s="214" t="s">
        <v>0</v>
      </c>
    </row>
    <row r="566" spans="1:12" s="217" customFormat="1" ht="16.5" customHeight="1">
      <c r="B566" s="223" t="s">
        <v>7</v>
      </c>
      <c r="C566" s="207" t="s">
        <v>13</v>
      </c>
      <c r="D566" s="207" t="s">
        <v>3</v>
      </c>
      <c r="E566" s="224">
        <v>12</v>
      </c>
      <c r="F566" s="222" t="s">
        <v>15</v>
      </c>
      <c r="G566" s="216" t="s">
        <v>0</v>
      </c>
      <c r="H566" s="216" t="s">
        <v>0</v>
      </c>
      <c r="I566" s="216" t="s">
        <v>0</v>
      </c>
      <c r="J566" s="216" t="s">
        <v>0</v>
      </c>
      <c r="K566" s="216" t="s">
        <v>0</v>
      </c>
      <c r="L566" s="216" t="s">
        <v>0</v>
      </c>
    </row>
    <row r="567" spans="1:12" s="217" customFormat="1" ht="16.5" customHeight="1">
      <c r="A567" s="225">
        <v>10715</v>
      </c>
      <c r="B567" s="218" t="s">
        <v>4</v>
      </c>
      <c r="C567" s="205" t="s">
        <v>12</v>
      </c>
      <c r="D567" s="205" t="s">
        <v>3</v>
      </c>
      <c r="E567" s="219">
        <v>7</v>
      </c>
      <c r="F567" s="220" t="s">
        <v>15</v>
      </c>
      <c r="G567" s="212" t="s">
        <v>0</v>
      </c>
      <c r="H567" s="212" t="s">
        <v>0</v>
      </c>
      <c r="I567" s="212" t="s">
        <v>0</v>
      </c>
      <c r="J567" s="212" t="s">
        <v>0</v>
      </c>
      <c r="K567" s="212" t="s">
        <v>0</v>
      </c>
      <c r="L567" s="212" t="s">
        <v>0</v>
      </c>
    </row>
    <row r="568" spans="1:12" s="217" customFormat="1" ht="16.5" customHeight="1">
      <c r="B568" s="217" t="s">
        <v>11</v>
      </c>
      <c r="C568" s="206" t="s">
        <v>12</v>
      </c>
      <c r="D568" s="206" t="s">
        <v>3</v>
      </c>
      <c r="E568" s="221">
        <v>7</v>
      </c>
      <c r="F568" s="222" t="s">
        <v>15</v>
      </c>
      <c r="G568" s="214" t="s">
        <v>0</v>
      </c>
      <c r="H568" s="214" t="s">
        <v>0</v>
      </c>
      <c r="I568" s="214" t="s">
        <v>0</v>
      </c>
      <c r="J568" s="214" t="s">
        <v>0</v>
      </c>
      <c r="K568" s="214" t="s">
        <v>0</v>
      </c>
      <c r="L568" s="214" t="s">
        <v>0</v>
      </c>
    </row>
    <row r="569" spans="1:12" s="217" customFormat="1" ht="16.5" customHeight="1">
      <c r="B569" s="217" t="s">
        <v>10</v>
      </c>
      <c r="C569" s="206" t="s">
        <v>12</v>
      </c>
      <c r="D569" s="206" t="s">
        <v>3</v>
      </c>
      <c r="E569" s="221">
        <v>7</v>
      </c>
      <c r="F569" s="222" t="s">
        <v>15</v>
      </c>
      <c r="G569" s="213" t="s">
        <v>0</v>
      </c>
      <c r="H569" s="213" t="s">
        <v>0</v>
      </c>
      <c r="I569" s="213" t="s">
        <v>0</v>
      </c>
      <c r="J569" s="213" t="s">
        <v>0</v>
      </c>
      <c r="K569" s="213" t="s">
        <v>0</v>
      </c>
      <c r="L569" s="213" t="s">
        <v>0</v>
      </c>
    </row>
    <row r="570" spans="1:12" s="217" customFormat="1" ht="16.5" customHeight="1">
      <c r="B570" s="217" t="s">
        <v>9</v>
      </c>
      <c r="C570" s="206" t="s">
        <v>12</v>
      </c>
      <c r="D570" s="206" t="s">
        <v>3</v>
      </c>
      <c r="E570" s="221">
        <v>7</v>
      </c>
      <c r="F570" s="222" t="s">
        <v>15</v>
      </c>
      <c r="G570" s="213" t="s">
        <v>0</v>
      </c>
      <c r="H570" s="213" t="s">
        <v>0</v>
      </c>
      <c r="I570" s="213" t="s">
        <v>0</v>
      </c>
      <c r="J570" s="213" t="s">
        <v>0</v>
      </c>
      <c r="K570" s="213" t="s">
        <v>0</v>
      </c>
      <c r="L570" s="213" t="s">
        <v>0</v>
      </c>
    </row>
    <row r="571" spans="1:12" s="217" customFormat="1" ht="16.5" customHeight="1">
      <c r="B571" s="217" t="s">
        <v>8</v>
      </c>
      <c r="C571" s="206" t="s">
        <v>12</v>
      </c>
      <c r="D571" s="206" t="s">
        <v>3</v>
      </c>
      <c r="E571" s="221">
        <v>7</v>
      </c>
      <c r="F571" s="222" t="s">
        <v>15</v>
      </c>
      <c r="G571" s="214" t="s">
        <v>0</v>
      </c>
      <c r="H571" s="214" t="s">
        <v>0</v>
      </c>
      <c r="I571" s="214" t="s">
        <v>0</v>
      </c>
      <c r="J571" s="214" t="s">
        <v>0</v>
      </c>
      <c r="K571" s="214" t="s">
        <v>0</v>
      </c>
      <c r="L571" s="214" t="s">
        <v>0</v>
      </c>
    </row>
    <row r="572" spans="1:12" s="217" customFormat="1" ht="16.5" customHeight="1">
      <c r="B572" s="223" t="s">
        <v>7</v>
      </c>
      <c r="C572" s="207" t="s">
        <v>12</v>
      </c>
      <c r="D572" s="207" t="s">
        <v>3</v>
      </c>
      <c r="E572" s="224">
        <v>7</v>
      </c>
      <c r="F572" s="222" t="s">
        <v>15</v>
      </c>
      <c r="G572" s="216" t="s">
        <v>0</v>
      </c>
      <c r="H572" s="216" t="s">
        <v>0</v>
      </c>
      <c r="I572" s="216" t="s">
        <v>0</v>
      </c>
      <c r="J572" s="216" t="s">
        <v>0</v>
      </c>
      <c r="K572" s="216" t="s">
        <v>0</v>
      </c>
      <c r="L572" s="216" t="s">
        <v>0</v>
      </c>
    </row>
    <row r="573" spans="1:12" ht="16.5" customHeight="1">
      <c r="A573" s="1"/>
      <c r="B573" s="218" t="s">
        <v>4</v>
      </c>
      <c r="C573" s="205" t="s">
        <v>12</v>
      </c>
      <c r="D573" s="205" t="s">
        <v>3</v>
      </c>
      <c r="E573" s="219">
        <v>8</v>
      </c>
      <c r="F573" s="220" t="s">
        <v>15</v>
      </c>
      <c r="G573" s="212" t="s">
        <v>0</v>
      </c>
      <c r="H573" s="212" t="s">
        <v>0</v>
      </c>
      <c r="I573" s="212" t="s">
        <v>0</v>
      </c>
      <c r="J573" s="212" t="s">
        <v>0</v>
      </c>
      <c r="K573" s="212" t="s">
        <v>0</v>
      </c>
      <c r="L573" s="212" t="s">
        <v>0</v>
      </c>
    </row>
    <row r="574" spans="1:12" ht="16.5" customHeight="1">
      <c r="A574" s="1"/>
      <c r="B574" s="217" t="s">
        <v>11</v>
      </c>
      <c r="C574" s="206" t="s">
        <v>12</v>
      </c>
      <c r="D574" s="206" t="s">
        <v>3</v>
      </c>
      <c r="E574" s="221">
        <v>8</v>
      </c>
      <c r="F574" s="222" t="s">
        <v>15</v>
      </c>
      <c r="G574" s="214" t="s">
        <v>0</v>
      </c>
      <c r="H574" s="214" t="s">
        <v>0</v>
      </c>
      <c r="I574" s="214" t="s">
        <v>0</v>
      </c>
      <c r="J574" s="214" t="s">
        <v>0</v>
      </c>
      <c r="K574" s="214" t="s">
        <v>0</v>
      </c>
      <c r="L574" s="214" t="s">
        <v>0</v>
      </c>
    </row>
    <row r="575" spans="1:12" ht="16.5" customHeight="1">
      <c r="A575" s="1"/>
      <c r="B575" s="217" t="s">
        <v>10</v>
      </c>
      <c r="C575" s="206" t="s">
        <v>12</v>
      </c>
      <c r="D575" s="206" t="s">
        <v>3</v>
      </c>
      <c r="E575" s="221">
        <v>8</v>
      </c>
      <c r="F575" s="222" t="s">
        <v>15</v>
      </c>
      <c r="G575" s="213" t="s">
        <v>0</v>
      </c>
      <c r="H575" s="213" t="s">
        <v>0</v>
      </c>
      <c r="I575" s="213" t="s">
        <v>0</v>
      </c>
      <c r="J575" s="213" t="s">
        <v>0</v>
      </c>
      <c r="K575" s="213" t="s">
        <v>0</v>
      </c>
      <c r="L575" s="213" t="s">
        <v>0</v>
      </c>
    </row>
    <row r="576" spans="1:12" ht="16.5" customHeight="1">
      <c r="A576" s="1"/>
      <c r="B576" s="217" t="s">
        <v>9</v>
      </c>
      <c r="C576" s="206" t="s">
        <v>12</v>
      </c>
      <c r="D576" s="206" t="s">
        <v>3</v>
      </c>
      <c r="E576" s="221">
        <v>8</v>
      </c>
      <c r="F576" s="222" t="s">
        <v>15</v>
      </c>
      <c r="G576" s="213" t="s">
        <v>0</v>
      </c>
      <c r="H576" s="213" t="s">
        <v>0</v>
      </c>
      <c r="I576" s="213" t="s">
        <v>0</v>
      </c>
      <c r="J576" s="213" t="s">
        <v>0</v>
      </c>
      <c r="K576" s="213" t="s">
        <v>0</v>
      </c>
      <c r="L576" s="213" t="s">
        <v>0</v>
      </c>
    </row>
    <row r="577" spans="1:12" ht="16.5" customHeight="1">
      <c r="A577" s="1"/>
      <c r="B577" s="217" t="s">
        <v>8</v>
      </c>
      <c r="C577" s="206" t="s">
        <v>12</v>
      </c>
      <c r="D577" s="206" t="s">
        <v>3</v>
      </c>
      <c r="E577" s="221">
        <v>8</v>
      </c>
      <c r="F577" s="222" t="s">
        <v>15</v>
      </c>
      <c r="G577" s="214" t="s">
        <v>0</v>
      </c>
      <c r="H577" s="214" t="s">
        <v>0</v>
      </c>
      <c r="I577" s="214" t="s">
        <v>0</v>
      </c>
      <c r="J577" s="214" t="s">
        <v>0</v>
      </c>
      <c r="K577" s="214" t="s">
        <v>0</v>
      </c>
      <c r="L577" s="214" t="s">
        <v>0</v>
      </c>
    </row>
    <row r="578" spans="1:12" ht="16.5" customHeight="1">
      <c r="A578" s="1"/>
      <c r="B578" s="223" t="s">
        <v>7</v>
      </c>
      <c r="C578" s="207" t="s">
        <v>12</v>
      </c>
      <c r="D578" s="207" t="s">
        <v>3</v>
      </c>
      <c r="E578" s="224">
        <v>8</v>
      </c>
      <c r="F578" s="222" t="s">
        <v>15</v>
      </c>
      <c r="G578" s="216" t="s">
        <v>0</v>
      </c>
      <c r="H578" s="216" t="s">
        <v>0</v>
      </c>
      <c r="I578" s="216" t="s">
        <v>0</v>
      </c>
      <c r="J578" s="216" t="s">
        <v>0</v>
      </c>
      <c r="K578" s="216" t="s">
        <v>0</v>
      </c>
      <c r="L578" s="216" t="s">
        <v>0</v>
      </c>
    </row>
    <row r="579" spans="1:12" ht="16.5" customHeight="1">
      <c r="A579" s="1"/>
      <c r="B579" s="218" t="s">
        <v>4</v>
      </c>
      <c r="C579" s="205" t="s">
        <v>12</v>
      </c>
      <c r="D579" s="205" t="s">
        <v>3</v>
      </c>
      <c r="E579" s="219">
        <v>10</v>
      </c>
      <c r="F579" s="220" t="s">
        <v>15</v>
      </c>
      <c r="G579" s="212" t="s">
        <v>0</v>
      </c>
      <c r="H579" s="212" t="s">
        <v>0</v>
      </c>
      <c r="I579" s="212" t="s">
        <v>0</v>
      </c>
      <c r="J579" s="212" t="s">
        <v>0</v>
      </c>
      <c r="K579" s="212" t="s">
        <v>0</v>
      </c>
      <c r="L579" s="212" t="s">
        <v>0</v>
      </c>
    </row>
    <row r="580" spans="1:12" ht="16.5" customHeight="1">
      <c r="A580" s="1"/>
      <c r="B580" s="217" t="s">
        <v>11</v>
      </c>
      <c r="C580" s="206" t="s">
        <v>12</v>
      </c>
      <c r="D580" s="206" t="s">
        <v>3</v>
      </c>
      <c r="E580" s="221">
        <v>10</v>
      </c>
      <c r="F580" s="222" t="s">
        <v>15</v>
      </c>
      <c r="G580" s="214" t="s">
        <v>0</v>
      </c>
      <c r="H580" s="214" t="s">
        <v>0</v>
      </c>
      <c r="I580" s="214" t="s">
        <v>0</v>
      </c>
      <c r="J580" s="214" t="s">
        <v>0</v>
      </c>
      <c r="K580" s="214" t="s">
        <v>0</v>
      </c>
      <c r="L580" s="214" t="s">
        <v>0</v>
      </c>
    </row>
    <row r="581" spans="1:12" ht="16.5" customHeight="1">
      <c r="A581" s="1"/>
      <c r="B581" s="217" t="s">
        <v>10</v>
      </c>
      <c r="C581" s="206" t="s">
        <v>12</v>
      </c>
      <c r="D581" s="206" t="s">
        <v>3</v>
      </c>
      <c r="E581" s="221">
        <v>10</v>
      </c>
      <c r="F581" s="222" t="s">
        <v>15</v>
      </c>
      <c r="G581" s="213" t="s">
        <v>0</v>
      </c>
      <c r="H581" s="213" t="s">
        <v>0</v>
      </c>
      <c r="I581" s="213" t="s">
        <v>0</v>
      </c>
      <c r="J581" s="213" t="s">
        <v>0</v>
      </c>
      <c r="K581" s="213" t="s">
        <v>0</v>
      </c>
      <c r="L581" s="213" t="s">
        <v>0</v>
      </c>
    </row>
    <row r="582" spans="1:12" ht="16.5" customHeight="1">
      <c r="A582" s="1"/>
      <c r="B582" s="217" t="s">
        <v>9</v>
      </c>
      <c r="C582" s="206" t="s">
        <v>12</v>
      </c>
      <c r="D582" s="206" t="s">
        <v>3</v>
      </c>
      <c r="E582" s="221">
        <v>10</v>
      </c>
      <c r="F582" s="222" t="s">
        <v>15</v>
      </c>
      <c r="G582" s="213" t="s">
        <v>0</v>
      </c>
      <c r="H582" s="213" t="s">
        <v>0</v>
      </c>
      <c r="I582" s="213" t="s">
        <v>0</v>
      </c>
      <c r="J582" s="213" t="s">
        <v>0</v>
      </c>
      <c r="K582" s="213" t="s">
        <v>0</v>
      </c>
      <c r="L582" s="213" t="s">
        <v>0</v>
      </c>
    </row>
    <row r="583" spans="1:12" ht="16.5" customHeight="1">
      <c r="A583" s="1"/>
      <c r="B583" s="217" t="s">
        <v>8</v>
      </c>
      <c r="C583" s="206" t="s">
        <v>12</v>
      </c>
      <c r="D583" s="206" t="s">
        <v>3</v>
      </c>
      <c r="E583" s="221">
        <v>10</v>
      </c>
      <c r="F583" s="222" t="s">
        <v>15</v>
      </c>
      <c r="G583" s="214" t="s">
        <v>0</v>
      </c>
      <c r="H583" s="214" t="s">
        <v>0</v>
      </c>
      <c r="I583" s="214" t="s">
        <v>0</v>
      </c>
      <c r="J583" s="214" t="s">
        <v>0</v>
      </c>
      <c r="K583" s="214" t="s">
        <v>0</v>
      </c>
      <c r="L583" s="214" t="s">
        <v>0</v>
      </c>
    </row>
    <row r="584" spans="1:12" ht="16.5" customHeight="1">
      <c r="A584" s="1"/>
      <c r="B584" s="223" t="s">
        <v>7</v>
      </c>
      <c r="C584" s="207" t="s">
        <v>12</v>
      </c>
      <c r="D584" s="207" t="s">
        <v>3</v>
      </c>
      <c r="E584" s="224">
        <v>10</v>
      </c>
      <c r="F584" s="227" t="s">
        <v>15</v>
      </c>
      <c r="G584" s="216" t="s">
        <v>0</v>
      </c>
      <c r="H584" s="216" t="s">
        <v>0</v>
      </c>
      <c r="I584" s="216" t="s">
        <v>0</v>
      </c>
      <c r="J584" s="216" t="s">
        <v>0</v>
      </c>
      <c r="K584" s="216" t="s">
        <v>0</v>
      </c>
      <c r="L584" s="216" t="s">
        <v>0</v>
      </c>
    </row>
    <row r="585" spans="1:12" ht="16.5" customHeight="1">
      <c r="A585" s="1"/>
      <c r="B585" s="226" t="s">
        <v>4</v>
      </c>
      <c r="C585" s="206" t="s">
        <v>146</v>
      </c>
      <c r="D585" s="6" t="s">
        <v>3</v>
      </c>
      <c r="E585" s="5">
        <v>5.8</v>
      </c>
      <c r="F585" s="15" t="s">
        <v>15</v>
      </c>
      <c r="G585" s="197">
        <f>$E585</f>
        <v>5.8</v>
      </c>
      <c r="H585" s="212">
        <v>47812774</v>
      </c>
      <c r="I585" s="14" t="s">
        <v>0</v>
      </c>
      <c r="J585" s="14" t="s">
        <v>0</v>
      </c>
      <c r="K585" s="212" t="s">
        <v>0</v>
      </c>
      <c r="L585" s="212" t="s">
        <v>0</v>
      </c>
    </row>
    <row r="586" spans="1:12" ht="16.5" customHeight="1">
      <c r="A586" s="1"/>
      <c r="B586" s="1" t="s">
        <v>11</v>
      </c>
      <c r="C586" s="206" t="s">
        <v>146</v>
      </c>
      <c r="D586" s="6" t="s">
        <v>3</v>
      </c>
      <c r="E586" s="5">
        <v>5.8</v>
      </c>
      <c r="F586" s="12" t="s">
        <v>15</v>
      </c>
      <c r="G586" s="213">
        <v>1325</v>
      </c>
      <c r="H586" s="214">
        <v>47812774</v>
      </c>
      <c r="I586" s="9" t="s">
        <v>0</v>
      </c>
      <c r="J586" s="9" t="s">
        <v>0</v>
      </c>
      <c r="K586" s="214" t="s">
        <v>0</v>
      </c>
      <c r="L586" s="214" t="s">
        <v>0</v>
      </c>
    </row>
    <row r="587" spans="1:12" ht="16.5" customHeight="1">
      <c r="A587" s="1"/>
      <c r="B587" s="1" t="s">
        <v>10</v>
      </c>
      <c r="C587" s="206" t="s">
        <v>146</v>
      </c>
      <c r="D587" s="6" t="s">
        <v>3</v>
      </c>
      <c r="E587" s="5">
        <v>5.8</v>
      </c>
      <c r="F587" s="12" t="s">
        <v>15</v>
      </c>
      <c r="G587" s="213">
        <v>3000</v>
      </c>
      <c r="H587" s="214">
        <v>47812774</v>
      </c>
      <c r="I587" s="13" t="s">
        <v>0</v>
      </c>
      <c r="J587" s="9" t="s">
        <v>0</v>
      </c>
      <c r="K587" s="213" t="s">
        <v>0</v>
      </c>
      <c r="L587" s="213" t="s">
        <v>0</v>
      </c>
    </row>
    <row r="588" spans="1:12" ht="16.5" customHeight="1">
      <c r="A588" s="1"/>
      <c r="B588" s="1" t="s">
        <v>9</v>
      </c>
      <c r="C588" s="206" t="s">
        <v>146</v>
      </c>
      <c r="D588" s="6" t="s">
        <v>3</v>
      </c>
      <c r="E588" s="5">
        <v>5.8</v>
      </c>
      <c r="F588" s="12" t="s">
        <v>15</v>
      </c>
      <c r="G588" s="213">
        <v>2600</v>
      </c>
      <c r="H588" s="214">
        <v>47812774</v>
      </c>
      <c r="I588" s="13" t="s">
        <v>0</v>
      </c>
      <c r="J588" s="9" t="s">
        <v>0</v>
      </c>
      <c r="K588" s="213" t="s">
        <v>0</v>
      </c>
      <c r="L588" s="213" t="s">
        <v>0</v>
      </c>
    </row>
    <row r="589" spans="1:12" ht="16.5" customHeight="1">
      <c r="A589" s="1"/>
      <c r="B589" s="1" t="s">
        <v>8</v>
      </c>
      <c r="C589" s="206" t="s">
        <v>146</v>
      </c>
      <c r="D589" s="6" t="s">
        <v>3</v>
      </c>
      <c r="E589" s="5">
        <v>5.8</v>
      </c>
      <c r="F589" s="12" t="s">
        <v>15</v>
      </c>
      <c r="G589" s="213">
        <v>2752</v>
      </c>
      <c r="H589" s="214">
        <v>47812774</v>
      </c>
      <c r="I589" s="9" t="s">
        <v>0</v>
      </c>
      <c r="J589" s="9" t="s">
        <v>0</v>
      </c>
      <c r="K589" s="214" t="s">
        <v>0</v>
      </c>
      <c r="L589" s="214" t="s">
        <v>0</v>
      </c>
    </row>
    <row r="590" spans="1:12" ht="16.5" customHeight="1">
      <c r="A590" s="1"/>
      <c r="B590" s="23" t="s">
        <v>7</v>
      </c>
      <c r="C590" s="207" t="s">
        <v>146</v>
      </c>
      <c r="D590" s="4" t="s">
        <v>3</v>
      </c>
      <c r="E590" s="3">
        <v>5.8</v>
      </c>
      <c r="F590" s="12" t="s">
        <v>15</v>
      </c>
      <c r="G590" s="215">
        <v>1464</v>
      </c>
      <c r="H590" s="214">
        <v>47812774</v>
      </c>
      <c r="I590" s="11" t="s">
        <v>0</v>
      </c>
      <c r="J590" s="9" t="s">
        <v>0</v>
      </c>
      <c r="K590" s="216" t="s">
        <v>0</v>
      </c>
      <c r="L590" s="216" t="s">
        <v>0</v>
      </c>
    </row>
    <row r="591" spans="1:12" ht="16.5" customHeight="1">
      <c r="A591" s="1"/>
      <c r="B591" s="196" t="s">
        <v>4</v>
      </c>
      <c r="C591" s="205" t="s">
        <v>146</v>
      </c>
      <c r="D591" s="8" t="s">
        <v>3</v>
      </c>
      <c r="E591" s="7">
        <v>7</v>
      </c>
      <c r="F591" s="15" t="s">
        <v>15</v>
      </c>
      <c r="G591" s="211">
        <f>$E591</f>
        <v>7</v>
      </c>
      <c r="H591" s="212">
        <v>47812775</v>
      </c>
      <c r="I591" s="14" t="s">
        <v>0</v>
      </c>
      <c r="J591" s="14" t="s">
        <v>0</v>
      </c>
      <c r="K591" s="212" t="s">
        <v>0</v>
      </c>
      <c r="L591" s="212" t="s">
        <v>0</v>
      </c>
    </row>
    <row r="592" spans="1:12" ht="16.5" customHeight="1">
      <c r="A592" s="1"/>
      <c r="B592" s="1" t="s">
        <v>11</v>
      </c>
      <c r="C592" s="206" t="s">
        <v>146</v>
      </c>
      <c r="D592" s="6" t="s">
        <v>3</v>
      </c>
      <c r="E592" s="5">
        <v>7</v>
      </c>
      <c r="F592" s="12" t="s">
        <v>15</v>
      </c>
      <c r="G592" s="228">
        <v>1091</v>
      </c>
      <c r="H592" s="214">
        <v>47812775</v>
      </c>
      <c r="I592" s="9" t="s">
        <v>0</v>
      </c>
      <c r="J592" s="9" t="s">
        <v>0</v>
      </c>
      <c r="K592" s="214" t="s">
        <v>0</v>
      </c>
      <c r="L592" s="214" t="s">
        <v>0</v>
      </c>
    </row>
    <row r="593" spans="1:12" ht="16.5" customHeight="1">
      <c r="A593" s="1"/>
      <c r="B593" s="1" t="s">
        <v>10</v>
      </c>
      <c r="C593" s="206" t="s">
        <v>146</v>
      </c>
      <c r="D593" s="6" t="s">
        <v>3</v>
      </c>
      <c r="E593" s="5">
        <v>7</v>
      </c>
      <c r="F593" s="12" t="s">
        <v>15</v>
      </c>
      <c r="G593" s="228">
        <v>3500</v>
      </c>
      <c r="H593" s="214">
        <v>47812775</v>
      </c>
      <c r="I593" s="13" t="s">
        <v>0</v>
      </c>
      <c r="J593" s="9" t="s">
        <v>0</v>
      </c>
      <c r="K593" s="213" t="s">
        <v>0</v>
      </c>
      <c r="L593" s="213" t="s">
        <v>0</v>
      </c>
    </row>
    <row r="594" spans="1:12" ht="16.5" customHeight="1">
      <c r="A594" s="1"/>
      <c r="B594" s="1" t="s">
        <v>9</v>
      </c>
      <c r="C594" s="206" t="s">
        <v>146</v>
      </c>
      <c r="D594" s="6" t="s">
        <v>3</v>
      </c>
      <c r="E594" s="5">
        <v>7</v>
      </c>
      <c r="F594" s="12" t="s">
        <v>15</v>
      </c>
      <c r="G594" s="228">
        <v>2650</v>
      </c>
      <c r="H594" s="214">
        <v>47812775</v>
      </c>
      <c r="I594" s="13" t="s">
        <v>0</v>
      </c>
      <c r="J594" s="9" t="s">
        <v>0</v>
      </c>
      <c r="K594" s="213" t="s">
        <v>0</v>
      </c>
      <c r="L594" s="213" t="s">
        <v>0</v>
      </c>
    </row>
    <row r="595" spans="1:12" ht="16.5" customHeight="1">
      <c r="A595" s="1"/>
      <c r="B595" s="1" t="s">
        <v>8</v>
      </c>
      <c r="C595" s="206" t="s">
        <v>146</v>
      </c>
      <c r="D595" s="6" t="s">
        <v>3</v>
      </c>
      <c r="E595" s="5">
        <v>7</v>
      </c>
      <c r="F595" s="12" t="s">
        <v>15</v>
      </c>
      <c r="G595" s="228">
        <v>2751</v>
      </c>
      <c r="H595" s="214">
        <v>47812775</v>
      </c>
      <c r="I595" s="9" t="s">
        <v>0</v>
      </c>
      <c r="J595" s="9" t="s">
        <v>0</v>
      </c>
      <c r="K595" s="214" t="s">
        <v>0</v>
      </c>
      <c r="L595" s="214" t="s">
        <v>0</v>
      </c>
    </row>
    <row r="596" spans="1:12" ht="16.5" customHeight="1">
      <c r="A596" s="1"/>
      <c r="B596" s="23" t="s">
        <v>7</v>
      </c>
      <c r="C596" s="207" t="s">
        <v>146</v>
      </c>
      <c r="D596" s="4" t="s">
        <v>3</v>
      </c>
      <c r="E596" s="3">
        <v>7</v>
      </c>
      <c r="F596" s="12" t="s">
        <v>15</v>
      </c>
      <c r="G596" s="229">
        <v>1464</v>
      </c>
      <c r="H596" s="214">
        <v>47812775</v>
      </c>
      <c r="I596" s="11" t="s">
        <v>0</v>
      </c>
      <c r="J596" s="9" t="s">
        <v>0</v>
      </c>
      <c r="K596" s="216" t="s">
        <v>0</v>
      </c>
      <c r="L596" s="216" t="s">
        <v>0</v>
      </c>
    </row>
    <row r="597" spans="1:12" ht="16.5" customHeight="1">
      <c r="A597" s="1"/>
      <c r="B597" s="196" t="s">
        <v>4</v>
      </c>
      <c r="C597" s="205" t="s">
        <v>146</v>
      </c>
      <c r="D597" s="8" t="s">
        <v>3</v>
      </c>
      <c r="E597" s="7">
        <v>8.1999999999999993</v>
      </c>
      <c r="F597" s="15" t="s">
        <v>15</v>
      </c>
      <c r="G597" s="197">
        <f>$E597</f>
        <v>8.1999999999999993</v>
      </c>
      <c r="H597" s="212">
        <v>47812776</v>
      </c>
      <c r="I597" s="14" t="s">
        <v>0</v>
      </c>
      <c r="J597" s="14" t="s">
        <v>0</v>
      </c>
      <c r="K597" s="197">
        <f>$E597</f>
        <v>8.1999999999999993</v>
      </c>
      <c r="L597" s="14">
        <v>47498942</v>
      </c>
    </row>
    <row r="598" spans="1:12" ht="16.5" customHeight="1">
      <c r="A598" s="1"/>
      <c r="B598" s="1" t="s">
        <v>11</v>
      </c>
      <c r="C598" s="206" t="s">
        <v>146</v>
      </c>
      <c r="D598" s="6" t="s">
        <v>3</v>
      </c>
      <c r="E598" s="5">
        <v>8.1999999999999993</v>
      </c>
      <c r="F598" s="12" t="s">
        <v>15</v>
      </c>
      <c r="G598" s="228">
        <v>925</v>
      </c>
      <c r="H598" s="214">
        <v>47812776</v>
      </c>
      <c r="I598" s="9" t="s">
        <v>0</v>
      </c>
      <c r="J598" s="9" t="s">
        <v>0</v>
      </c>
      <c r="K598" s="13">
        <v>720</v>
      </c>
      <c r="L598" s="9">
        <v>47498942</v>
      </c>
    </row>
    <row r="599" spans="1:12" ht="16.5" customHeight="1">
      <c r="A599" s="1"/>
      <c r="B599" s="1" t="s">
        <v>10</v>
      </c>
      <c r="C599" s="206" t="s">
        <v>146</v>
      </c>
      <c r="D599" s="6" t="s">
        <v>3</v>
      </c>
      <c r="E599" s="5">
        <v>8.1999999999999993</v>
      </c>
      <c r="F599" s="12" t="s">
        <v>15</v>
      </c>
      <c r="G599" s="228">
        <v>4000</v>
      </c>
      <c r="H599" s="214">
        <v>47812776</v>
      </c>
      <c r="I599" s="13" t="s">
        <v>0</v>
      </c>
      <c r="J599" s="9" t="s">
        <v>0</v>
      </c>
      <c r="K599" s="13">
        <v>4000</v>
      </c>
      <c r="L599" s="9">
        <v>47498942</v>
      </c>
    </row>
    <row r="600" spans="1:12" ht="16.5" customHeight="1">
      <c r="A600" s="1"/>
      <c r="B600" s="1" t="s">
        <v>9</v>
      </c>
      <c r="C600" s="206" t="s">
        <v>146</v>
      </c>
      <c r="D600" s="6" t="s">
        <v>3</v>
      </c>
      <c r="E600" s="5">
        <v>8.1999999999999993</v>
      </c>
      <c r="F600" s="12" t="s">
        <v>15</v>
      </c>
      <c r="G600" s="228">
        <v>2700</v>
      </c>
      <c r="H600" s="214">
        <v>47812776</v>
      </c>
      <c r="I600" s="13" t="s">
        <v>0</v>
      </c>
      <c r="J600" s="9" t="s">
        <v>0</v>
      </c>
      <c r="K600" s="13">
        <v>3800</v>
      </c>
      <c r="L600" s="9">
        <v>47498942</v>
      </c>
    </row>
    <row r="601" spans="1:12" ht="16.5" customHeight="1">
      <c r="A601" s="1"/>
      <c r="B601" s="1" t="s">
        <v>8</v>
      </c>
      <c r="C601" s="206" t="s">
        <v>146</v>
      </c>
      <c r="D601" s="6" t="s">
        <v>3</v>
      </c>
      <c r="E601" s="5">
        <v>8.1999999999999993</v>
      </c>
      <c r="F601" s="12" t="s">
        <v>15</v>
      </c>
      <c r="G601" s="228">
        <v>2751</v>
      </c>
      <c r="H601" s="214">
        <v>47812776</v>
      </c>
      <c r="I601" s="9" t="s">
        <v>0</v>
      </c>
      <c r="J601" s="9" t="s">
        <v>0</v>
      </c>
      <c r="K601" s="13">
        <v>3332</v>
      </c>
      <c r="L601" s="9">
        <v>47498942</v>
      </c>
    </row>
    <row r="602" spans="1:12" ht="16.5" customHeight="1">
      <c r="A602" s="1"/>
      <c r="B602" s="23" t="s">
        <v>7</v>
      </c>
      <c r="C602" s="207" t="s">
        <v>146</v>
      </c>
      <c r="D602" s="4" t="s">
        <v>3</v>
      </c>
      <c r="E602" s="3">
        <v>8.1999999999999993</v>
      </c>
      <c r="F602" s="12" t="s">
        <v>15</v>
      </c>
      <c r="G602" s="229">
        <v>1464</v>
      </c>
      <c r="H602" s="214">
        <v>47812776</v>
      </c>
      <c r="I602" s="11" t="s">
        <v>0</v>
      </c>
      <c r="J602" s="9" t="s">
        <v>0</v>
      </c>
      <c r="K602" s="10">
        <v>1476</v>
      </c>
      <c r="L602" s="9">
        <v>47498942</v>
      </c>
    </row>
    <row r="603" spans="1:12" ht="16.5" customHeight="1">
      <c r="A603" s="1"/>
      <c r="B603" s="1" t="s">
        <v>4</v>
      </c>
      <c r="C603" s="205" t="s">
        <v>147</v>
      </c>
      <c r="D603" s="25" t="s">
        <v>3</v>
      </c>
      <c r="E603" s="201" t="s">
        <v>6</v>
      </c>
      <c r="F603" s="2" t="s">
        <v>15</v>
      </c>
      <c r="G603" s="197" t="str">
        <f>$E603</f>
        <v>1,8 mc</v>
      </c>
      <c r="H603" s="198">
        <v>47498935</v>
      </c>
      <c r="I603" s="197" t="s">
        <v>0</v>
      </c>
      <c r="J603" s="198" t="s">
        <v>0</v>
      </c>
      <c r="K603" s="197" t="str">
        <f>$E603</f>
        <v>1,8 mc</v>
      </c>
      <c r="L603" s="198">
        <v>47498935</v>
      </c>
    </row>
    <row r="604" spans="1:12" ht="16.5" customHeight="1">
      <c r="A604" s="1"/>
      <c r="B604" s="1" t="s">
        <v>4</v>
      </c>
      <c r="C604" s="205" t="s">
        <v>147</v>
      </c>
      <c r="D604" s="25" t="s">
        <v>3</v>
      </c>
      <c r="E604" s="201" t="s">
        <v>5</v>
      </c>
      <c r="F604" s="2" t="s">
        <v>15</v>
      </c>
      <c r="G604" s="197" t="str">
        <f>$E604</f>
        <v>2,2 mc</v>
      </c>
      <c r="H604" s="198">
        <v>47498936</v>
      </c>
      <c r="I604" s="197" t="s">
        <v>0</v>
      </c>
      <c r="J604" s="198" t="s">
        <v>0</v>
      </c>
      <c r="K604" s="197" t="str">
        <f>$E604</f>
        <v>2,2 mc</v>
      </c>
      <c r="L604" s="198">
        <v>47498936</v>
      </c>
    </row>
    <row r="605" spans="1:12" ht="16.5" customHeight="1">
      <c r="A605" s="1"/>
      <c r="B605" s="1" t="s">
        <v>4</v>
      </c>
      <c r="C605" s="205" t="s">
        <v>147</v>
      </c>
      <c r="D605" s="25" t="s">
        <v>3</v>
      </c>
      <c r="E605" s="201" t="s">
        <v>2</v>
      </c>
      <c r="F605" s="2" t="s">
        <v>15</v>
      </c>
      <c r="G605" s="197" t="str">
        <f>$E605</f>
        <v>3,1 mc</v>
      </c>
      <c r="H605" s="198">
        <v>47498937</v>
      </c>
      <c r="I605" s="197" t="s">
        <v>0</v>
      </c>
      <c r="J605" s="198" t="s">
        <v>0</v>
      </c>
      <c r="K605" s="197" t="str">
        <f>$E605</f>
        <v>3,1 mc</v>
      </c>
      <c r="L605" s="198">
        <v>47498937</v>
      </c>
    </row>
    <row r="606" spans="1:12" ht="16.5" customHeight="1">
      <c r="A606" s="1"/>
      <c r="B606" s="196" t="s">
        <v>4</v>
      </c>
      <c r="C606" s="8" t="s">
        <v>13</v>
      </c>
      <c r="D606" s="8" t="s">
        <v>3</v>
      </c>
      <c r="E606" s="7">
        <v>7.5</v>
      </c>
      <c r="F606" s="15" t="s">
        <v>14</v>
      </c>
      <c r="G606" s="197">
        <f>$E606</f>
        <v>7.5</v>
      </c>
      <c r="H606" s="14">
        <v>47498928</v>
      </c>
      <c r="I606" s="14" t="s">
        <v>0</v>
      </c>
      <c r="J606" s="14" t="s">
        <v>0</v>
      </c>
      <c r="K606" s="197">
        <f>$E606</f>
        <v>7.5</v>
      </c>
      <c r="L606" s="14">
        <v>47498928</v>
      </c>
    </row>
    <row r="607" spans="1:12" ht="16.5" customHeight="1">
      <c r="A607" s="1"/>
      <c r="B607" s="1" t="s">
        <v>11</v>
      </c>
      <c r="C607" s="6" t="s">
        <v>13</v>
      </c>
      <c r="D607" s="6" t="s">
        <v>3</v>
      </c>
      <c r="E607" s="5">
        <v>7.5</v>
      </c>
      <c r="F607" s="12" t="s">
        <v>14</v>
      </c>
      <c r="G607" s="13">
        <v>1000</v>
      </c>
      <c r="H607" s="9">
        <v>47498928</v>
      </c>
      <c r="I607" s="9" t="s">
        <v>0</v>
      </c>
      <c r="J607" s="9" t="s">
        <v>0</v>
      </c>
      <c r="K607" s="13">
        <v>830</v>
      </c>
      <c r="L607" s="9">
        <v>47498928</v>
      </c>
    </row>
    <row r="608" spans="1:12" ht="16.5" customHeight="1">
      <c r="A608" s="1"/>
      <c r="B608" s="1" t="s">
        <v>10</v>
      </c>
      <c r="C608" s="6" t="s">
        <v>13</v>
      </c>
      <c r="D608" s="6" t="s">
        <v>3</v>
      </c>
      <c r="E608" s="5">
        <v>7.5</v>
      </c>
      <c r="F608" s="12" t="s">
        <v>14</v>
      </c>
      <c r="G608" s="13">
        <v>3200</v>
      </c>
      <c r="H608" s="9">
        <v>47498928</v>
      </c>
      <c r="I608" s="13" t="s">
        <v>0</v>
      </c>
      <c r="J608" s="9" t="s">
        <v>0</v>
      </c>
      <c r="K608" s="13">
        <v>3200</v>
      </c>
      <c r="L608" s="9">
        <v>47498928</v>
      </c>
    </row>
    <row r="609" spans="1:12" ht="16.5" customHeight="1">
      <c r="A609" s="1"/>
      <c r="B609" s="1" t="s">
        <v>9</v>
      </c>
      <c r="C609" s="6" t="s">
        <v>13</v>
      </c>
      <c r="D609" s="6" t="s">
        <v>3</v>
      </c>
      <c r="E609" s="5">
        <v>7.5</v>
      </c>
      <c r="F609" s="12" t="s">
        <v>14</v>
      </c>
      <c r="G609" s="13">
        <v>3250</v>
      </c>
      <c r="H609" s="9">
        <v>47498928</v>
      </c>
      <c r="I609" s="13" t="s">
        <v>0</v>
      </c>
      <c r="J609" s="9" t="s">
        <v>0</v>
      </c>
      <c r="K609" s="13">
        <v>3250</v>
      </c>
      <c r="L609" s="9">
        <v>47498928</v>
      </c>
    </row>
    <row r="610" spans="1:12" ht="16.5" customHeight="1">
      <c r="A610" s="1"/>
      <c r="B610" s="1" t="s">
        <v>8</v>
      </c>
      <c r="C610" s="6" t="s">
        <v>13</v>
      </c>
      <c r="D610" s="6" t="s">
        <v>3</v>
      </c>
      <c r="E610" s="5">
        <v>7.5</v>
      </c>
      <c r="F610" s="12" t="s">
        <v>14</v>
      </c>
      <c r="G610" s="13">
        <v>2686</v>
      </c>
      <c r="H610" s="9">
        <v>47498928</v>
      </c>
      <c r="I610" s="9" t="s">
        <v>0</v>
      </c>
      <c r="J610" s="9" t="s">
        <v>0</v>
      </c>
      <c r="K610" s="13">
        <v>3269</v>
      </c>
      <c r="L610" s="9">
        <v>47498928</v>
      </c>
    </row>
    <row r="611" spans="1:12" ht="16.5" customHeight="1">
      <c r="A611" s="1"/>
      <c r="B611" s="23" t="s">
        <v>7</v>
      </c>
      <c r="C611" s="4" t="s">
        <v>13</v>
      </c>
      <c r="D611" s="4" t="s">
        <v>3</v>
      </c>
      <c r="E611" s="3">
        <v>7.5</v>
      </c>
      <c r="F611" s="12" t="s">
        <v>14</v>
      </c>
      <c r="G611" s="10">
        <v>1628</v>
      </c>
      <c r="H611" s="9">
        <v>47498928</v>
      </c>
      <c r="I611" s="11" t="s">
        <v>0</v>
      </c>
      <c r="J611" s="9" t="s">
        <v>0</v>
      </c>
      <c r="K611" s="10">
        <v>1640</v>
      </c>
      <c r="L611" s="9">
        <v>47498928</v>
      </c>
    </row>
    <row r="612" spans="1:12" ht="16.5" customHeight="1">
      <c r="A612" s="1"/>
      <c r="B612" s="196" t="s">
        <v>4</v>
      </c>
      <c r="C612" s="8" t="s">
        <v>13</v>
      </c>
      <c r="D612" s="8" t="s">
        <v>3</v>
      </c>
      <c r="E612" s="7">
        <v>9</v>
      </c>
      <c r="F612" s="15" t="s">
        <v>14</v>
      </c>
      <c r="G612" s="197">
        <f>$E612</f>
        <v>9</v>
      </c>
      <c r="H612" s="14">
        <v>47498929</v>
      </c>
      <c r="I612" s="14" t="s">
        <v>0</v>
      </c>
      <c r="J612" s="14" t="s">
        <v>0</v>
      </c>
      <c r="K612" s="197">
        <f>$E612</f>
        <v>9</v>
      </c>
      <c r="L612" s="14">
        <v>47498929</v>
      </c>
    </row>
    <row r="613" spans="1:12" ht="16.5" customHeight="1">
      <c r="A613" s="1"/>
      <c r="B613" s="1" t="s">
        <v>11</v>
      </c>
      <c r="C613" s="6" t="s">
        <v>13</v>
      </c>
      <c r="D613" s="6" t="s">
        <v>3</v>
      </c>
      <c r="E613" s="5">
        <v>9</v>
      </c>
      <c r="F613" s="12" t="s">
        <v>14</v>
      </c>
      <c r="G613" s="13">
        <v>765</v>
      </c>
      <c r="H613" s="9">
        <v>47498929</v>
      </c>
      <c r="I613" s="9" t="s">
        <v>0</v>
      </c>
      <c r="J613" s="9" t="s">
        <v>0</v>
      </c>
      <c r="K613" s="13">
        <v>680</v>
      </c>
      <c r="L613" s="9">
        <v>47498929</v>
      </c>
    </row>
    <row r="614" spans="1:12" ht="16.5" customHeight="1">
      <c r="A614" s="1"/>
      <c r="B614" s="1" t="s">
        <v>10</v>
      </c>
      <c r="C614" s="6" t="s">
        <v>13</v>
      </c>
      <c r="D614" s="6" t="s">
        <v>3</v>
      </c>
      <c r="E614" s="5">
        <v>9</v>
      </c>
      <c r="F614" s="12" t="s">
        <v>14</v>
      </c>
      <c r="G614" s="13">
        <v>3250</v>
      </c>
      <c r="H614" s="9">
        <v>47498929</v>
      </c>
      <c r="I614" s="13" t="s">
        <v>0</v>
      </c>
      <c r="J614" s="9" t="s">
        <v>0</v>
      </c>
      <c r="K614" s="13">
        <v>3250</v>
      </c>
      <c r="L614" s="9">
        <v>47498929</v>
      </c>
    </row>
    <row r="615" spans="1:12" ht="16.5" customHeight="1">
      <c r="A615" s="1"/>
      <c r="B615" s="1" t="s">
        <v>9</v>
      </c>
      <c r="C615" s="6" t="s">
        <v>13</v>
      </c>
      <c r="D615" s="6" t="s">
        <v>3</v>
      </c>
      <c r="E615" s="5">
        <v>9</v>
      </c>
      <c r="F615" s="12" t="s">
        <v>14</v>
      </c>
      <c r="G615" s="13">
        <v>3750</v>
      </c>
      <c r="H615" s="9">
        <v>47498929</v>
      </c>
      <c r="I615" s="13" t="s">
        <v>0</v>
      </c>
      <c r="J615" s="9" t="s">
        <v>0</v>
      </c>
      <c r="K615" s="13">
        <v>3750</v>
      </c>
      <c r="L615" s="9">
        <v>47498929</v>
      </c>
    </row>
    <row r="616" spans="1:12" ht="16.5" customHeight="1">
      <c r="A616" s="1"/>
      <c r="B616" s="1" t="s">
        <v>8</v>
      </c>
      <c r="C616" s="6" t="s">
        <v>13</v>
      </c>
      <c r="D616" s="6" t="s">
        <v>3</v>
      </c>
      <c r="E616" s="5">
        <v>9</v>
      </c>
      <c r="F616" s="12" t="s">
        <v>14</v>
      </c>
      <c r="G616" s="13">
        <v>2639</v>
      </c>
      <c r="H616" s="9">
        <v>47498929</v>
      </c>
      <c r="I616" s="9" t="s">
        <v>0</v>
      </c>
      <c r="J616" s="9" t="s">
        <v>0</v>
      </c>
      <c r="K616" s="13">
        <v>3222</v>
      </c>
      <c r="L616" s="9">
        <v>47498929</v>
      </c>
    </row>
    <row r="617" spans="1:12" ht="16.5" customHeight="1">
      <c r="A617" s="1"/>
      <c r="B617" s="23" t="s">
        <v>7</v>
      </c>
      <c r="C617" s="4" t="s">
        <v>13</v>
      </c>
      <c r="D617" s="4" t="s">
        <v>3</v>
      </c>
      <c r="E617" s="3">
        <v>9</v>
      </c>
      <c r="F617" s="12" t="s">
        <v>14</v>
      </c>
      <c r="G617" s="10">
        <v>1588</v>
      </c>
      <c r="H617" s="9">
        <v>47498929</v>
      </c>
      <c r="I617" s="11" t="s">
        <v>0</v>
      </c>
      <c r="J617" s="9" t="s">
        <v>0</v>
      </c>
      <c r="K617" s="10">
        <v>1600</v>
      </c>
      <c r="L617" s="9">
        <v>47498929</v>
      </c>
    </row>
    <row r="618" spans="1:12" ht="16.5" customHeight="1">
      <c r="A618" s="1"/>
      <c r="B618" s="196" t="s">
        <v>4</v>
      </c>
      <c r="C618" s="8" t="s">
        <v>13</v>
      </c>
      <c r="D618" s="8" t="s">
        <v>3</v>
      </c>
      <c r="E618" s="7">
        <v>10</v>
      </c>
      <c r="F618" s="15" t="s">
        <v>14</v>
      </c>
      <c r="G618" s="197">
        <f>$E618</f>
        <v>10</v>
      </c>
      <c r="H618" s="14">
        <v>47498930</v>
      </c>
      <c r="I618" s="14" t="s">
        <v>0</v>
      </c>
      <c r="J618" s="14" t="s">
        <v>0</v>
      </c>
      <c r="K618" s="197">
        <f>$E618</f>
        <v>10</v>
      </c>
      <c r="L618" s="14">
        <v>47498930</v>
      </c>
    </row>
    <row r="619" spans="1:12" ht="16.5" customHeight="1">
      <c r="A619" s="1"/>
      <c r="B619" s="1" t="s">
        <v>11</v>
      </c>
      <c r="C619" s="6" t="s">
        <v>13</v>
      </c>
      <c r="D619" s="6" t="s">
        <v>3</v>
      </c>
      <c r="E619" s="5">
        <v>10</v>
      </c>
      <c r="F619" s="12" t="s">
        <v>14</v>
      </c>
      <c r="G619" s="13">
        <v>670</v>
      </c>
      <c r="H619" s="9">
        <v>47498930</v>
      </c>
      <c r="I619" s="9" t="s">
        <v>0</v>
      </c>
      <c r="J619" s="9" t="s">
        <v>0</v>
      </c>
      <c r="K619" s="13">
        <v>600</v>
      </c>
      <c r="L619" s="9">
        <v>47498930</v>
      </c>
    </row>
    <row r="620" spans="1:12" ht="16.5" customHeight="1">
      <c r="A620" s="1"/>
      <c r="B620" s="1" t="s">
        <v>10</v>
      </c>
      <c r="C620" s="6" t="s">
        <v>13</v>
      </c>
      <c r="D620" s="6" t="s">
        <v>3</v>
      </c>
      <c r="E620" s="5">
        <v>10</v>
      </c>
      <c r="F620" s="12" t="s">
        <v>14</v>
      </c>
      <c r="G620" s="13">
        <v>3500</v>
      </c>
      <c r="H620" s="9">
        <v>47498930</v>
      </c>
      <c r="I620" s="13" t="s">
        <v>0</v>
      </c>
      <c r="J620" s="9" t="s">
        <v>0</v>
      </c>
      <c r="K620" s="13">
        <v>3500</v>
      </c>
      <c r="L620" s="9">
        <v>47498930</v>
      </c>
    </row>
    <row r="621" spans="1:12" ht="16.5" customHeight="1">
      <c r="A621" s="1"/>
      <c r="B621" s="1" t="s">
        <v>9</v>
      </c>
      <c r="C621" s="6" t="s">
        <v>13</v>
      </c>
      <c r="D621" s="6" t="s">
        <v>3</v>
      </c>
      <c r="E621" s="5">
        <v>10</v>
      </c>
      <c r="F621" s="12" t="s">
        <v>14</v>
      </c>
      <c r="G621" s="13">
        <v>3950</v>
      </c>
      <c r="H621" s="9">
        <v>47498930</v>
      </c>
      <c r="I621" s="13" t="s">
        <v>0</v>
      </c>
      <c r="J621" s="9" t="s">
        <v>0</v>
      </c>
      <c r="K621" s="13">
        <v>3950</v>
      </c>
      <c r="L621" s="9">
        <v>47498930</v>
      </c>
    </row>
    <row r="622" spans="1:12" ht="16.5" customHeight="1">
      <c r="A622" s="1"/>
      <c r="B622" s="1" t="s">
        <v>8</v>
      </c>
      <c r="C622" s="6" t="s">
        <v>13</v>
      </c>
      <c r="D622" s="6" t="s">
        <v>3</v>
      </c>
      <c r="E622" s="5">
        <v>10</v>
      </c>
      <c r="F622" s="12" t="s">
        <v>14</v>
      </c>
      <c r="G622" s="13">
        <v>2639</v>
      </c>
      <c r="H622" s="9">
        <v>47498930</v>
      </c>
      <c r="I622" s="9" t="s">
        <v>0</v>
      </c>
      <c r="J622" s="9" t="s">
        <v>0</v>
      </c>
      <c r="K622" s="13">
        <v>3221</v>
      </c>
      <c r="L622" s="9">
        <v>47498930</v>
      </c>
    </row>
    <row r="623" spans="1:12" ht="16.5" customHeight="1">
      <c r="A623" s="1"/>
      <c r="B623" s="23" t="s">
        <v>7</v>
      </c>
      <c r="C623" s="4" t="s">
        <v>13</v>
      </c>
      <c r="D623" s="4" t="s">
        <v>3</v>
      </c>
      <c r="E623" s="3">
        <v>10</v>
      </c>
      <c r="F623" s="12" t="s">
        <v>14</v>
      </c>
      <c r="G623" s="10">
        <v>1588</v>
      </c>
      <c r="H623" s="9">
        <v>47498930</v>
      </c>
      <c r="I623" s="11" t="s">
        <v>0</v>
      </c>
      <c r="J623" s="9" t="s">
        <v>0</v>
      </c>
      <c r="K623" s="10">
        <v>1600</v>
      </c>
      <c r="L623" s="9">
        <v>47498930</v>
      </c>
    </row>
    <row r="624" spans="1:12" ht="16.5" customHeight="1">
      <c r="A624" s="1"/>
      <c r="B624" s="196" t="s">
        <v>4</v>
      </c>
      <c r="C624" s="8" t="s">
        <v>13</v>
      </c>
      <c r="D624" s="8" t="s">
        <v>3</v>
      </c>
      <c r="E624" s="7">
        <v>12</v>
      </c>
      <c r="F624" s="15" t="s">
        <v>14</v>
      </c>
      <c r="G624" s="197">
        <f>$E624</f>
        <v>12</v>
      </c>
      <c r="H624" s="14">
        <v>47498931</v>
      </c>
      <c r="I624" s="14" t="s">
        <v>0</v>
      </c>
      <c r="J624" s="14" t="s">
        <v>0</v>
      </c>
      <c r="K624" s="197">
        <f>$E624</f>
        <v>12</v>
      </c>
      <c r="L624" s="14">
        <v>47498931</v>
      </c>
    </row>
    <row r="625" spans="1:12" ht="16.5" customHeight="1">
      <c r="A625" s="1"/>
      <c r="B625" s="1" t="s">
        <v>11</v>
      </c>
      <c r="C625" s="6" t="s">
        <v>13</v>
      </c>
      <c r="D625" s="6" t="s">
        <v>3</v>
      </c>
      <c r="E625" s="5">
        <v>12</v>
      </c>
      <c r="F625" s="12" t="s">
        <v>14</v>
      </c>
      <c r="G625" s="13">
        <v>535</v>
      </c>
      <c r="H625" s="9">
        <v>47498931</v>
      </c>
      <c r="I625" s="9" t="s">
        <v>0</v>
      </c>
      <c r="J625" s="9" t="s">
        <v>0</v>
      </c>
      <c r="K625" s="13">
        <v>495</v>
      </c>
      <c r="L625" s="9">
        <v>47498931</v>
      </c>
    </row>
    <row r="626" spans="1:12" ht="16.5" customHeight="1">
      <c r="A626" s="1"/>
      <c r="B626" s="1" t="s">
        <v>10</v>
      </c>
      <c r="C626" s="6" t="s">
        <v>13</v>
      </c>
      <c r="D626" s="6" t="s">
        <v>3</v>
      </c>
      <c r="E626" s="5">
        <v>12</v>
      </c>
      <c r="F626" s="12" t="s">
        <v>14</v>
      </c>
      <c r="G626" s="13">
        <v>4000</v>
      </c>
      <c r="H626" s="9">
        <v>47498931</v>
      </c>
      <c r="I626" s="13" t="s">
        <v>0</v>
      </c>
      <c r="J626" s="9" t="s">
        <v>0</v>
      </c>
      <c r="K626" s="13">
        <v>4000</v>
      </c>
      <c r="L626" s="9">
        <v>47498931</v>
      </c>
    </row>
    <row r="627" spans="1:12" ht="16.5" customHeight="1">
      <c r="A627" s="1"/>
      <c r="B627" s="1" t="s">
        <v>9</v>
      </c>
      <c r="C627" s="6" t="s">
        <v>13</v>
      </c>
      <c r="D627" s="6" t="s">
        <v>3</v>
      </c>
      <c r="E627" s="5">
        <v>12</v>
      </c>
      <c r="F627" s="12" t="s">
        <v>14</v>
      </c>
      <c r="G627" s="13">
        <v>4200</v>
      </c>
      <c r="H627" s="9">
        <v>47498931</v>
      </c>
      <c r="I627" s="13" t="s">
        <v>0</v>
      </c>
      <c r="J627" s="9" t="s">
        <v>0</v>
      </c>
      <c r="K627" s="13">
        <v>4200</v>
      </c>
      <c r="L627" s="9">
        <v>47498931</v>
      </c>
    </row>
    <row r="628" spans="1:12" ht="16.5" customHeight="1">
      <c r="A628" s="1"/>
      <c r="B628" s="1" t="s">
        <v>8</v>
      </c>
      <c r="C628" s="6" t="s">
        <v>13</v>
      </c>
      <c r="D628" s="6" t="s">
        <v>3</v>
      </c>
      <c r="E628" s="5">
        <v>12</v>
      </c>
      <c r="F628" s="12" t="s">
        <v>14</v>
      </c>
      <c r="G628" s="13">
        <v>2638</v>
      </c>
      <c r="H628" s="9">
        <v>47498931</v>
      </c>
      <c r="I628" s="9" t="s">
        <v>0</v>
      </c>
      <c r="J628" s="9" t="s">
        <v>0</v>
      </c>
      <c r="K628" s="13">
        <v>3221</v>
      </c>
      <c r="L628" s="9">
        <v>47498931</v>
      </c>
    </row>
    <row r="629" spans="1:12" ht="16.5" customHeight="1">
      <c r="A629" s="1"/>
      <c r="B629" s="23" t="s">
        <v>7</v>
      </c>
      <c r="C629" s="4" t="s">
        <v>13</v>
      </c>
      <c r="D629" s="4" t="s">
        <v>3</v>
      </c>
      <c r="E629" s="3">
        <v>12</v>
      </c>
      <c r="F629" s="12" t="s">
        <v>14</v>
      </c>
      <c r="G629" s="10">
        <v>1588</v>
      </c>
      <c r="H629" s="9">
        <v>47498931</v>
      </c>
      <c r="I629" s="11" t="s">
        <v>0</v>
      </c>
      <c r="J629" s="9" t="s">
        <v>0</v>
      </c>
      <c r="K629" s="10">
        <v>1600</v>
      </c>
      <c r="L629" s="9">
        <v>47498931</v>
      </c>
    </row>
    <row r="630" spans="1:12" ht="16.5" customHeight="1">
      <c r="A630" s="1"/>
      <c r="B630" s="196" t="s">
        <v>4</v>
      </c>
      <c r="C630" s="8" t="s">
        <v>12</v>
      </c>
      <c r="D630" s="8" t="s">
        <v>3</v>
      </c>
      <c r="E630" s="7">
        <v>7</v>
      </c>
      <c r="F630" s="15" t="s">
        <v>14</v>
      </c>
      <c r="G630" s="197">
        <f>$E630</f>
        <v>7</v>
      </c>
      <c r="H630" s="14">
        <v>47498932</v>
      </c>
      <c r="I630" s="14" t="s">
        <v>0</v>
      </c>
      <c r="J630" s="14" t="s">
        <v>0</v>
      </c>
      <c r="K630" s="197">
        <f>$E630</f>
        <v>7</v>
      </c>
      <c r="L630" s="14">
        <v>47498932</v>
      </c>
    </row>
    <row r="631" spans="1:12" ht="16.5" customHeight="1">
      <c r="A631" s="1"/>
      <c r="B631" s="1" t="s">
        <v>11</v>
      </c>
      <c r="C631" s="6" t="s">
        <v>12</v>
      </c>
      <c r="D631" s="6" t="s">
        <v>3</v>
      </c>
      <c r="E631" s="5">
        <v>7</v>
      </c>
      <c r="F631" s="12" t="s">
        <v>14</v>
      </c>
      <c r="G631" s="13">
        <v>1050</v>
      </c>
      <c r="H631" s="9">
        <v>47498932</v>
      </c>
      <c r="I631" s="9" t="s">
        <v>0</v>
      </c>
      <c r="J631" s="9" t="s">
        <v>0</v>
      </c>
      <c r="K631" s="13">
        <v>940</v>
      </c>
      <c r="L631" s="9">
        <v>47498932</v>
      </c>
    </row>
    <row r="632" spans="1:12" ht="16.5" customHeight="1">
      <c r="A632" s="1"/>
      <c r="B632" s="1" t="s">
        <v>10</v>
      </c>
      <c r="C632" s="6" t="s">
        <v>12</v>
      </c>
      <c r="D632" s="6" t="s">
        <v>3</v>
      </c>
      <c r="E632" s="5">
        <v>7</v>
      </c>
      <c r="F632" s="12" t="s">
        <v>14</v>
      </c>
      <c r="G632" s="13">
        <v>3400</v>
      </c>
      <c r="H632" s="9">
        <v>47498932</v>
      </c>
      <c r="I632" s="13" t="s">
        <v>0</v>
      </c>
      <c r="J632" s="9" t="s">
        <v>0</v>
      </c>
      <c r="K632" s="13">
        <v>3400</v>
      </c>
      <c r="L632" s="9">
        <v>47498932</v>
      </c>
    </row>
    <row r="633" spans="1:12" ht="16.5" customHeight="1">
      <c r="A633" s="1"/>
      <c r="B633" s="1" t="s">
        <v>9</v>
      </c>
      <c r="C633" s="6" t="s">
        <v>12</v>
      </c>
      <c r="D633" s="6" t="s">
        <v>3</v>
      </c>
      <c r="E633" s="5">
        <v>7</v>
      </c>
      <c r="F633" s="12" t="s">
        <v>14</v>
      </c>
      <c r="G633" s="13">
        <v>3490</v>
      </c>
      <c r="H633" s="9">
        <v>47498932</v>
      </c>
      <c r="I633" s="13" t="s">
        <v>0</v>
      </c>
      <c r="J633" s="9" t="s">
        <v>0</v>
      </c>
      <c r="K633" s="13">
        <v>3490</v>
      </c>
      <c r="L633" s="9">
        <v>47498932</v>
      </c>
    </row>
    <row r="634" spans="1:12" ht="16.5" customHeight="1">
      <c r="A634" s="1"/>
      <c r="B634" s="1" t="s">
        <v>8</v>
      </c>
      <c r="C634" s="6" t="s">
        <v>12</v>
      </c>
      <c r="D634" s="6" t="s">
        <v>3</v>
      </c>
      <c r="E634" s="5">
        <v>7</v>
      </c>
      <c r="F634" s="12" t="s">
        <v>14</v>
      </c>
      <c r="G634" s="13">
        <v>4967</v>
      </c>
      <c r="H634" s="9">
        <v>47498932</v>
      </c>
      <c r="I634" s="9" t="s">
        <v>0</v>
      </c>
      <c r="J634" s="9" t="s">
        <v>0</v>
      </c>
      <c r="K634" s="13">
        <v>5571</v>
      </c>
      <c r="L634" s="9">
        <v>47498932</v>
      </c>
    </row>
    <row r="635" spans="1:12" ht="16.5" customHeight="1">
      <c r="A635" s="1"/>
      <c r="B635" s="23" t="s">
        <v>7</v>
      </c>
      <c r="C635" s="4" t="s">
        <v>12</v>
      </c>
      <c r="D635" s="4" t="s">
        <v>3</v>
      </c>
      <c r="E635" s="3">
        <v>7</v>
      </c>
      <c r="F635" s="12" t="s">
        <v>14</v>
      </c>
      <c r="G635" s="10">
        <v>1513</v>
      </c>
      <c r="H635" s="9">
        <v>47498932</v>
      </c>
      <c r="I635" s="11" t="s">
        <v>0</v>
      </c>
      <c r="J635" s="9" t="s">
        <v>0</v>
      </c>
      <c r="K635" s="10">
        <v>1511</v>
      </c>
      <c r="L635" s="9">
        <v>47498932</v>
      </c>
    </row>
    <row r="636" spans="1:12" ht="16.5" customHeight="1">
      <c r="A636" s="1"/>
      <c r="B636" s="196" t="s">
        <v>4</v>
      </c>
      <c r="C636" s="8" t="s">
        <v>12</v>
      </c>
      <c r="D636" s="8" t="s">
        <v>3</v>
      </c>
      <c r="E636" s="7">
        <v>8</v>
      </c>
      <c r="F636" s="15" t="s">
        <v>14</v>
      </c>
      <c r="G636" s="197">
        <f>$E636</f>
        <v>8</v>
      </c>
      <c r="H636" s="14">
        <v>47498933</v>
      </c>
      <c r="I636" s="14" t="s">
        <v>0</v>
      </c>
      <c r="J636" s="14" t="s">
        <v>0</v>
      </c>
      <c r="K636" s="197">
        <f>$E636</f>
        <v>8</v>
      </c>
      <c r="L636" s="14">
        <v>47498933</v>
      </c>
    </row>
    <row r="637" spans="1:12" ht="16.5" customHeight="1">
      <c r="A637" s="1"/>
      <c r="B637" s="1" t="s">
        <v>11</v>
      </c>
      <c r="C637" s="6" t="s">
        <v>12</v>
      </c>
      <c r="D637" s="6" t="s">
        <v>3</v>
      </c>
      <c r="E637" s="5">
        <v>8</v>
      </c>
      <c r="F637" s="12" t="s">
        <v>14</v>
      </c>
      <c r="G637" s="13">
        <v>880</v>
      </c>
      <c r="H637" s="9">
        <v>47498933</v>
      </c>
      <c r="I637" s="9" t="s">
        <v>0</v>
      </c>
      <c r="J637" s="9" t="s">
        <v>0</v>
      </c>
      <c r="K637" s="13">
        <v>805</v>
      </c>
      <c r="L637" s="9">
        <v>47498933</v>
      </c>
    </row>
    <row r="638" spans="1:12" ht="16.5" customHeight="1">
      <c r="A638" s="1"/>
      <c r="B638" s="1" t="s">
        <v>10</v>
      </c>
      <c r="C638" s="6" t="s">
        <v>12</v>
      </c>
      <c r="D638" s="6" t="s">
        <v>3</v>
      </c>
      <c r="E638" s="5">
        <v>8</v>
      </c>
      <c r="F638" s="12" t="s">
        <v>14</v>
      </c>
      <c r="G638" s="13">
        <v>3750</v>
      </c>
      <c r="H638" s="9">
        <v>47498933</v>
      </c>
      <c r="I638" s="13" t="s">
        <v>0</v>
      </c>
      <c r="J638" s="9" t="s">
        <v>0</v>
      </c>
      <c r="K638" s="13">
        <v>3750</v>
      </c>
      <c r="L638" s="9">
        <v>47498933</v>
      </c>
    </row>
    <row r="639" spans="1:12" ht="16.5" customHeight="1">
      <c r="A639" s="1"/>
      <c r="B639" s="1" t="s">
        <v>9</v>
      </c>
      <c r="C639" s="6" t="s">
        <v>12</v>
      </c>
      <c r="D639" s="6" t="s">
        <v>3</v>
      </c>
      <c r="E639" s="5">
        <v>8</v>
      </c>
      <c r="F639" s="12" t="s">
        <v>14</v>
      </c>
      <c r="G639" s="13">
        <v>3790</v>
      </c>
      <c r="H639" s="9">
        <v>47498933</v>
      </c>
      <c r="I639" s="13" t="s">
        <v>0</v>
      </c>
      <c r="J639" s="9" t="s">
        <v>0</v>
      </c>
      <c r="K639" s="13">
        <v>3790</v>
      </c>
      <c r="L639" s="9">
        <v>47498933</v>
      </c>
    </row>
    <row r="640" spans="1:12" ht="16.5" customHeight="1">
      <c r="A640" s="1"/>
      <c r="B640" s="1" t="s">
        <v>8</v>
      </c>
      <c r="C640" s="6" t="s">
        <v>12</v>
      </c>
      <c r="D640" s="6" t="s">
        <v>3</v>
      </c>
      <c r="E640" s="5">
        <v>8</v>
      </c>
      <c r="F640" s="12" t="s">
        <v>14</v>
      </c>
      <c r="G640" s="13">
        <v>4966</v>
      </c>
      <c r="H640" s="9">
        <v>47498933</v>
      </c>
      <c r="I640" s="9" t="s">
        <v>0</v>
      </c>
      <c r="J640" s="9" t="s">
        <v>0</v>
      </c>
      <c r="K640" s="13">
        <v>5570</v>
      </c>
      <c r="L640" s="9">
        <v>47498933</v>
      </c>
    </row>
    <row r="641" spans="1:12" ht="16.5" customHeight="1">
      <c r="A641" s="1"/>
      <c r="B641" s="23" t="s">
        <v>7</v>
      </c>
      <c r="C641" s="4" t="s">
        <v>12</v>
      </c>
      <c r="D641" s="4" t="s">
        <v>3</v>
      </c>
      <c r="E641" s="3">
        <v>8</v>
      </c>
      <c r="F641" s="12" t="s">
        <v>14</v>
      </c>
      <c r="G641" s="10">
        <v>1513</v>
      </c>
      <c r="H641" s="9">
        <v>47498933</v>
      </c>
      <c r="I641" s="11" t="s">
        <v>0</v>
      </c>
      <c r="J641" s="9" t="s">
        <v>0</v>
      </c>
      <c r="K641" s="10">
        <v>1511</v>
      </c>
      <c r="L641" s="9">
        <v>47498933</v>
      </c>
    </row>
    <row r="642" spans="1:12" ht="16.5" customHeight="1">
      <c r="A642" s="1"/>
      <c r="B642" s="196" t="s">
        <v>4</v>
      </c>
      <c r="C642" s="8" t="s">
        <v>12</v>
      </c>
      <c r="D642" s="8" t="s">
        <v>3</v>
      </c>
      <c r="E642" s="7">
        <v>10</v>
      </c>
      <c r="F642" s="15" t="s">
        <v>14</v>
      </c>
      <c r="G642" s="197">
        <f>$E642</f>
        <v>10</v>
      </c>
      <c r="H642" s="14">
        <v>47498934</v>
      </c>
      <c r="I642" s="14" t="s">
        <v>0</v>
      </c>
      <c r="J642" s="14" t="s">
        <v>0</v>
      </c>
      <c r="K642" s="197">
        <f>$E642</f>
        <v>10</v>
      </c>
      <c r="L642" s="14">
        <v>47498934</v>
      </c>
    </row>
    <row r="643" spans="1:12" ht="16.5" customHeight="1">
      <c r="A643" s="1"/>
      <c r="B643" s="1" t="s">
        <v>11</v>
      </c>
      <c r="C643" s="6" t="s">
        <v>12</v>
      </c>
      <c r="D643" s="6" t="s">
        <v>3</v>
      </c>
      <c r="E643" s="5">
        <v>10</v>
      </c>
      <c r="F643" s="12" t="s">
        <v>14</v>
      </c>
      <c r="G643" s="13">
        <v>655</v>
      </c>
      <c r="H643" s="9">
        <v>47498934</v>
      </c>
      <c r="I643" s="9" t="s">
        <v>0</v>
      </c>
      <c r="J643" s="9" t="s">
        <v>0</v>
      </c>
      <c r="K643" s="13">
        <v>620</v>
      </c>
      <c r="L643" s="9">
        <v>47498934</v>
      </c>
    </row>
    <row r="644" spans="1:12" ht="16.5" customHeight="1">
      <c r="A644" s="1"/>
      <c r="B644" s="1" t="s">
        <v>10</v>
      </c>
      <c r="C644" s="6" t="s">
        <v>12</v>
      </c>
      <c r="D644" s="6" t="s">
        <v>3</v>
      </c>
      <c r="E644" s="5">
        <v>10</v>
      </c>
      <c r="F644" s="12" t="s">
        <v>14</v>
      </c>
      <c r="G644" s="13">
        <v>4400</v>
      </c>
      <c r="H644" s="9">
        <v>47498934</v>
      </c>
      <c r="I644" s="13" t="s">
        <v>0</v>
      </c>
      <c r="J644" s="9" t="s">
        <v>0</v>
      </c>
      <c r="K644" s="13">
        <v>4400</v>
      </c>
      <c r="L644" s="9">
        <v>47498934</v>
      </c>
    </row>
    <row r="645" spans="1:12" ht="16.5" customHeight="1">
      <c r="A645" s="1"/>
      <c r="B645" s="1" t="s">
        <v>9</v>
      </c>
      <c r="C645" s="6" t="s">
        <v>12</v>
      </c>
      <c r="D645" s="6" t="s">
        <v>3</v>
      </c>
      <c r="E645" s="5">
        <v>10</v>
      </c>
      <c r="F645" s="12" t="s">
        <v>14</v>
      </c>
      <c r="G645" s="13">
        <v>4290</v>
      </c>
      <c r="H645" s="9">
        <v>47498934</v>
      </c>
      <c r="I645" s="13" t="s">
        <v>0</v>
      </c>
      <c r="J645" s="9" t="s">
        <v>0</v>
      </c>
      <c r="K645" s="13">
        <v>4290</v>
      </c>
      <c r="L645" s="9">
        <v>47498934</v>
      </c>
    </row>
    <row r="646" spans="1:12" ht="16.5" customHeight="1">
      <c r="A646" s="1"/>
      <c r="B646" s="1" t="s">
        <v>8</v>
      </c>
      <c r="C646" s="6" t="s">
        <v>12</v>
      </c>
      <c r="D646" s="6" t="s">
        <v>3</v>
      </c>
      <c r="E646" s="5">
        <v>10</v>
      </c>
      <c r="F646" s="12" t="s">
        <v>14</v>
      </c>
      <c r="G646" s="13">
        <v>5004</v>
      </c>
      <c r="H646" s="9">
        <v>47498934</v>
      </c>
      <c r="I646" s="9" t="s">
        <v>0</v>
      </c>
      <c r="J646" s="9" t="s">
        <v>0</v>
      </c>
      <c r="K646" s="13">
        <v>5611</v>
      </c>
      <c r="L646" s="9">
        <v>47498934</v>
      </c>
    </row>
    <row r="647" spans="1:12" ht="16.5" customHeight="1">
      <c r="A647" s="1"/>
      <c r="B647" s="23" t="s">
        <v>7</v>
      </c>
      <c r="C647" s="4" t="s">
        <v>12</v>
      </c>
      <c r="D647" s="4" t="s">
        <v>3</v>
      </c>
      <c r="E647" s="3">
        <v>10</v>
      </c>
      <c r="F647" s="12" t="s">
        <v>14</v>
      </c>
      <c r="G647" s="10">
        <v>1513</v>
      </c>
      <c r="H647" s="9">
        <v>47498934</v>
      </c>
      <c r="I647" s="11" t="s">
        <v>0</v>
      </c>
      <c r="J647" s="9" t="s">
        <v>0</v>
      </c>
      <c r="K647" s="10">
        <v>1511</v>
      </c>
      <c r="L647" s="9">
        <v>47498934</v>
      </c>
    </row>
    <row r="648" spans="1:12" ht="16.5" customHeight="1">
      <c r="A648" s="1"/>
      <c r="B648" s="196" t="s">
        <v>4</v>
      </c>
      <c r="C648" s="205" t="s">
        <v>146</v>
      </c>
      <c r="D648" s="8" t="s">
        <v>3</v>
      </c>
      <c r="E648" s="7">
        <v>5.8</v>
      </c>
      <c r="F648" s="15" t="s">
        <v>14</v>
      </c>
      <c r="G648" s="197">
        <f>$E648</f>
        <v>5.8</v>
      </c>
      <c r="H648" s="14">
        <v>47498939</v>
      </c>
      <c r="I648" s="14" t="s">
        <v>0</v>
      </c>
      <c r="J648" s="14" t="s">
        <v>0</v>
      </c>
      <c r="K648" s="197">
        <f>$E648</f>
        <v>5.8</v>
      </c>
      <c r="L648" s="14">
        <v>47498939</v>
      </c>
    </row>
    <row r="649" spans="1:12" ht="16.5" customHeight="1">
      <c r="A649" s="1"/>
      <c r="B649" s="1" t="s">
        <v>11</v>
      </c>
      <c r="C649" s="206" t="s">
        <v>146</v>
      </c>
      <c r="D649" s="6" t="s">
        <v>3</v>
      </c>
      <c r="E649" s="5">
        <v>5.8</v>
      </c>
      <c r="F649" s="12" t="s">
        <v>14</v>
      </c>
      <c r="G649" s="13">
        <v>1320</v>
      </c>
      <c r="H649" s="9">
        <v>47498939</v>
      </c>
      <c r="I649" s="9" t="s">
        <v>0</v>
      </c>
      <c r="J649" s="9" t="s">
        <v>0</v>
      </c>
      <c r="K649" s="13">
        <v>1100</v>
      </c>
      <c r="L649" s="9">
        <v>47498939</v>
      </c>
    </row>
    <row r="650" spans="1:12" ht="16.5" customHeight="1">
      <c r="A650" s="1"/>
      <c r="B650" s="1" t="s">
        <v>10</v>
      </c>
      <c r="C650" s="206" t="s">
        <v>146</v>
      </c>
      <c r="D650" s="6" t="s">
        <v>3</v>
      </c>
      <c r="E650" s="5">
        <v>5.8</v>
      </c>
      <c r="F650" s="12" t="s">
        <v>14</v>
      </c>
      <c r="G650" s="13">
        <v>3000</v>
      </c>
      <c r="H650" s="9">
        <v>47498939</v>
      </c>
      <c r="I650" s="13" t="s">
        <v>0</v>
      </c>
      <c r="J650" s="9" t="s">
        <v>0</v>
      </c>
      <c r="K650" s="13">
        <v>3000</v>
      </c>
      <c r="L650" s="9">
        <v>47498939</v>
      </c>
    </row>
    <row r="651" spans="1:12" ht="16.5" customHeight="1">
      <c r="A651" s="1"/>
      <c r="B651" s="1" t="s">
        <v>9</v>
      </c>
      <c r="C651" s="206" t="s">
        <v>146</v>
      </c>
      <c r="D651" s="6" t="s">
        <v>3</v>
      </c>
      <c r="E651" s="5">
        <v>5.8</v>
      </c>
      <c r="F651" s="12" t="s">
        <v>14</v>
      </c>
      <c r="G651" s="13">
        <v>2850</v>
      </c>
      <c r="H651" s="9">
        <v>47498939</v>
      </c>
      <c r="I651" s="13" t="s">
        <v>0</v>
      </c>
      <c r="J651" s="9" t="s">
        <v>0</v>
      </c>
      <c r="K651" s="13">
        <v>2850</v>
      </c>
      <c r="L651" s="9">
        <v>47498939</v>
      </c>
    </row>
    <row r="652" spans="1:12" ht="16.5" customHeight="1">
      <c r="A652" s="1"/>
      <c r="B652" s="1" t="s">
        <v>8</v>
      </c>
      <c r="C652" s="206" t="s">
        <v>146</v>
      </c>
      <c r="D652" s="6" t="s">
        <v>3</v>
      </c>
      <c r="E652" s="5">
        <v>5.8</v>
      </c>
      <c r="F652" s="12" t="s">
        <v>14</v>
      </c>
      <c r="G652" s="13">
        <v>2752</v>
      </c>
      <c r="H652" s="9">
        <v>47498939</v>
      </c>
      <c r="I652" s="9" t="s">
        <v>0</v>
      </c>
      <c r="J652" s="9" t="s">
        <v>0</v>
      </c>
      <c r="K652" s="13">
        <v>3334</v>
      </c>
      <c r="L652" s="9">
        <v>47498939</v>
      </c>
    </row>
    <row r="653" spans="1:12" ht="16.5" customHeight="1">
      <c r="A653" s="1"/>
      <c r="B653" s="23" t="s">
        <v>7</v>
      </c>
      <c r="C653" s="207" t="s">
        <v>146</v>
      </c>
      <c r="D653" s="4" t="s">
        <v>3</v>
      </c>
      <c r="E653" s="3">
        <v>5.8</v>
      </c>
      <c r="F653" s="12" t="s">
        <v>14</v>
      </c>
      <c r="G653" s="10">
        <v>1464</v>
      </c>
      <c r="H653" s="9">
        <v>47498939</v>
      </c>
      <c r="I653" s="11" t="s">
        <v>0</v>
      </c>
      <c r="J653" s="9" t="s">
        <v>0</v>
      </c>
      <c r="K653" s="10">
        <v>1476</v>
      </c>
      <c r="L653" s="9">
        <v>47498939</v>
      </c>
    </row>
    <row r="654" spans="1:12" ht="16.5" customHeight="1">
      <c r="A654" s="1"/>
      <c r="B654" s="196" t="s">
        <v>4</v>
      </c>
      <c r="C654" s="205" t="s">
        <v>146</v>
      </c>
      <c r="D654" s="8" t="s">
        <v>3</v>
      </c>
      <c r="E654" s="7">
        <v>7</v>
      </c>
      <c r="F654" s="15" t="s">
        <v>14</v>
      </c>
      <c r="G654" s="197">
        <f>$E654</f>
        <v>7</v>
      </c>
      <c r="H654" s="14">
        <v>47498940</v>
      </c>
      <c r="I654" s="14" t="s">
        <v>0</v>
      </c>
      <c r="J654" s="14" t="s">
        <v>0</v>
      </c>
      <c r="K654" s="197">
        <f>$E654</f>
        <v>7</v>
      </c>
      <c r="L654" s="14">
        <v>47498940</v>
      </c>
    </row>
    <row r="655" spans="1:12" ht="16.5" customHeight="1">
      <c r="A655" s="1"/>
      <c r="B655" s="1" t="s">
        <v>11</v>
      </c>
      <c r="C655" s="206" t="s">
        <v>146</v>
      </c>
      <c r="D655" s="6" t="s">
        <v>3</v>
      </c>
      <c r="E655" s="5">
        <v>7</v>
      </c>
      <c r="F655" s="12" t="s">
        <v>14</v>
      </c>
      <c r="G655" s="13">
        <v>1020</v>
      </c>
      <c r="H655" s="9">
        <v>47498940</v>
      </c>
      <c r="I655" s="9" t="s">
        <v>0</v>
      </c>
      <c r="J655" s="9" t="s">
        <v>0</v>
      </c>
      <c r="K655" s="13">
        <v>875</v>
      </c>
      <c r="L655" s="9">
        <v>47498940</v>
      </c>
    </row>
    <row r="656" spans="1:12" ht="16.5" customHeight="1">
      <c r="A656" s="1"/>
      <c r="B656" s="1" t="s">
        <v>10</v>
      </c>
      <c r="C656" s="206" t="s">
        <v>146</v>
      </c>
      <c r="D656" s="6" t="s">
        <v>3</v>
      </c>
      <c r="E656" s="5">
        <v>7</v>
      </c>
      <c r="F656" s="12" t="s">
        <v>14</v>
      </c>
      <c r="G656" s="13">
        <v>3500</v>
      </c>
      <c r="H656" s="9">
        <v>47498940</v>
      </c>
      <c r="I656" s="13" t="s">
        <v>0</v>
      </c>
      <c r="J656" s="9" t="s">
        <v>0</v>
      </c>
      <c r="K656" s="13">
        <v>3500</v>
      </c>
      <c r="L656" s="9">
        <v>47498940</v>
      </c>
    </row>
    <row r="657" spans="1:12" ht="16.5" customHeight="1">
      <c r="A657" s="1"/>
      <c r="B657" s="1" t="s">
        <v>9</v>
      </c>
      <c r="C657" s="206" t="s">
        <v>146</v>
      </c>
      <c r="D657" s="6" t="s">
        <v>3</v>
      </c>
      <c r="E657" s="5">
        <v>7</v>
      </c>
      <c r="F657" s="12" t="s">
        <v>14</v>
      </c>
      <c r="G657" s="13">
        <v>3390</v>
      </c>
      <c r="H657" s="9">
        <v>47498940</v>
      </c>
      <c r="I657" s="13" t="s">
        <v>0</v>
      </c>
      <c r="J657" s="9" t="s">
        <v>0</v>
      </c>
      <c r="K657" s="13">
        <v>3390</v>
      </c>
      <c r="L657" s="9">
        <v>47498940</v>
      </c>
    </row>
    <row r="658" spans="1:12" ht="16.5" customHeight="1">
      <c r="A658" s="1"/>
      <c r="B658" s="1" t="s">
        <v>8</v>
      </c>
      <c r="C658" s="206" t="s">
        <v>146</v>
      </c>
      <c r="D658" s="6" t="s">
        <v>3</v>
      </c>
      <c r="E658" s="5">
        <v>7</v>
      </c>
      <c r="F658" s="12" t="s">
        <v>14</v>
      </c>
      <c r="G658" s="13">
        <v>2750</v>
      </c>
      <c r="H658" s="9">
        <v>47498940</v>
      </c>
      <c r="I658" s="9" t="s">
        <v>0</v>
      </c>
      <c r="J658" s="9" t="s">
        <v>0</v>
      </c>
      <c r="K658" s="13">
        <v>3333</v>
      </c>
      <c r="L658" s="9">
        <v>47498940</v>
      </c>
    </row>
    <row r="659" spans="1:12" ht="16.5" customHeight="1">
      <c r="A659" s="1"/>
      <c r="B659" s="23" t="s">
        <v>7</v>
      </c>
      <c r="C659" s="207" t="s">
        <v>146</v>
      </c>
      <c r="D659" s="4" t="s">
        <v>3</v>
      </c>
      <c r="E659" s="3">
        <v>7</v>
      </c>
      <c r="F659" s="12" t="s">
        <v>14</v>
      </c>
      <c r="G659" s="10">
        <v>1464</v>
      </c>
      <c r="H659" s="9">
        <v>47498940</v>
      </c>
      <c r="I659" s="11" t="s">
        <v>0</v>
      </c>
      <c r="J659" s="9" t="s">
        <v>0</v>
      </c>
      <c r="K659" s="10">
        <v>1476</v>
      </c>
      <c r="L659" s="9">
        <v>47498940</v>
      </c>
    </row>
    <row r="660" spans="1:12" ht="16.5" customHeight="1">
      <c r="A660" s="1"/>
      <c r="B660" s="196" t="s">
        <v>4</v>
      </c>
      <c r="C660" s="205" t="s">
        <v>146</v>
      </c>
      <c r="D660" s="8" t="s">
        <v>3</v>
      </c>
      <c r="E660" s="7">
        <v>8.1999999999999993</v>
      </c>
      <c r="F660" s="15" t="s">
        <v>14</v>
      </c>
      <c r="G660" s="197">
        <f>$E660</f>
        <v>8.1999999999999993</v>
      </c>
      <c r="H660" s="14">
        <v>47498942</v>
      </c>
      <c r="I660" s="14" t="s">
        <v>0</v>
      </c>
      <c r="J660" s="14" t="s">
        <v>0</v>
      </c>
      <c r="K660" s="197">
        <f>$E660</f>
        <v>8.1999999999999993</v>
      </c>
      <c r="L660" s="14">
        <v>47498942</v>
      </c>
    </row>
    <row r="661" spans="1:12" ht="16.5" customHeight="1">
      <c r="A661" s="1"/>
      <c r="B661" s="1" t="s">
        <v>11</v>
      </c>
      <c r="C661" s="206" t="s">
        <v>146</v>
      </c>
      <c r="D661" s="6" t="s">
        <v>3</v>
      </c>
      <c r="E661" s="5">
        <v>8.1999999999999993</v>
      </c>
      <c r="F661" s="12" t="s">
        <v>14</v>
      </c>
      <c r="G661" s="13">
        <v>820</v>
      </c>
      <c r="H661" s="9">
        <v>47498942</v>
      </c>
      <c r="I661" s="9" t="s">
        <v>0</v>
      </c>
      <c r="J661" s="9" t="s">
        <v>0</v>
      </c>
      <c r="K661" s="13">
        <v>720</v>
      </c>
      <c r="L661" s="9">
        <v>47498942</v>
      </c>
    </row>
    <row r="662" spans="1:12" ht="16.5" customHeight="1">
      <c r="A662" s="1"/>
      <c r="B662" s="1" t="s">
        <v>10</v>
      </c>
      <c r="C662" s="206" t="s">
        <v>146</v>
      </c>
      <c r="D662" s="6" t="s">
        <v>3</v>
      </c>
      <c r="E662" s="5">
        <v>8.1999999999999993</v>
      </c>
      <c r="F662" s="12" t="s">
        <v>14</v>
      </c>
      <c r="G662" s="13">
        <v>4000</v>
      </c>
      <c r="H662" s="9">
        <v>47498942</v>
      </c>
      <c r="I662" s="13" t="s">
        <v>0</v>
      </c>
      <c r="J662" s="9" t="s">
        <v>0</v>
      </c>
      <c r="K662" s="13">
        <v>4000</v>
      </c>
      <c r="L662" s="9">
        <v>47498942</v>
      </c>
    </row>
    <row r="663" spans="1:12" ht="16.5" customHeight="1">
      <c r="A663" s="1"/>
      <c r="B663" s="1" t="s">
        <v>9</v>
      </c>
      <c r="C663" s="206" t="s">
        <v>146</v>
      </c>
      <c r="D663" s="6" t="s">
        <v>3</v>
      </c>
      <c r="E663" s="5">
        <v>8.1999999999999993</v>
      </c>
      <c r="F663" s="12" t="s">
        <v>14</v>
      </c>
      <c r="G663" s="13">
        <v>3800</v>
      </c>
      <c r="H663" s="9">
        <v>47498942</v>
      </c>
      <c r="I663" s="13" t="s">
        <v>0</v>
      </c>
      <c r="J663" s="9" t="s">
        <v>0</v>
      </c>
      <c r="K663" s="13">
        <v>3800</v>
      </c>
      <c r="L663" s="9">
        <v>47498942</v>
      </c>
    </row>
    <row r="664" spans="1:12" ht="16.5" customHeight="1">
      <c r="A664" s="1"/>
      <c r="B664" s="1" t="s">
        <v>8</v>
      </c>
      <c r="C664" s="206" t="s">
        <v>146</v>
      </c>
      <c r="D664" s="6" t="s">
        <v>3</v>
      </c>
      <c r="E664" s="5">
        <v>8.1999999999999993</v>
      </c>
      <c r="F664" s="12" t="s">
        <v>14</v>
      </c>
      <c r="G664" s="13">
        <v>2750</v>
      </c>
      <c r="H664" s="9">
        <v>47498942</v>
      </c>
      <c r="I664" s="9" t="s">
        <v>0</v>
      </c>
      <c r="J664" s="9" t="s">
        <v>0</v>
      </c>
      <c r="K664" s="13">
        <v>3332</v>
      </c>
      <c r="L664" s="9">
        <v>47498942</v>
      </c>
    </row>
    <row r="665" spans="1:12" ht="16.5" customHeight="1">
      <c r="A665" s="1"/>
      <c r="B665" s="23" t="s">
        <v>7</v>
      </c>
      <c r="C665" s="207" t="s">
        <v>146</v>
      </c>
      <c r="D665" s="4" t="s">
        <v>3</v>
      </c>
      <c r="E665" s="3">
        <v>8.1999999999999993</v>
      </c>
      <c r="F665" s="12" t="s">
        <v>14</v>
      </c>
      <c r="G665" s="10">
        <v>1464</v>
      </c>
      <c r="H665" s="9">
        <v>47498942</v>
      </c>
      <c r="I665" s="11" t="s">
        <v>0</v>
      </c>
      <c r="J665" s="9" t="s">
        <v>0</v>
      </c>
      <c r="K665" s="10">
        <v>1476</v>
      </c>
      <c r="L665" s="9">
        <v>47498942</v>
      </c>
    </row>
    <row r="666" spans="1:12" ht="16.5" customHeight="1">
      <c r="A666" s="1"/>
      <c r="B666" s="1" t="s">
        <v>4</v>
      </c>
      <c r="C666" s="205" t="s">
        <v>147</v>
      </c>
      <c r="D666" s="25" t="s">
        <v>3</v>
      </c>
      <c r="E666" s="201" t="s">
        <v>6</v>
      </c>
      <c r="F666" s="2" t="s">
        <v>14</v>
      </c>
      <c r="G666" s="197" t="str">
        <f>$E666</f>
        <v>1,8 mc</v>
      </c>
      <c r="H666" s="198">
        <v>47498935</v>
      </c>
      <c r="I666" s="197" t="s">
        <v>0</v>
      </c>
      <c r="J666" s="198" t="s">
        <v>0</v>
      </c>
      <c r="K666" s="197" t="str">
        <f>$E666</f>
        <v>1,8 mc</v>
      </c>
      <c r="L666" s="198">
        <v>47498935</v>
      </c>
    </row>
    <row r="667" spans="1:12" ht="16.5" customHeight="1">
      <c r="A667" s="1"/>
      <c r="B667" s="1" t="s">
        <v>4</v>
      </c>
      <c r="C667" s="205" t="s">
        <v>147</v>
      </c>
      <c r="D667" s="25" t="s">
        <v>3</v>
      </c>
      <c r="E667" s="201" t="s">
        <v>5</v>
      </c>
      <c r="F667" s="2" t="s">
        <v>14</v>
      </c>
      <c r="G667" s="197" t="str">
        <f>$E667</f>
        <v>2,2 mc</v>
      </c>
      <c r="H667" s="198">
        <v>47498936</v>
      </c>
      <c r="I667" s="197" t="s">
        <v>0</v>
      </c>
      <c r="J667" s="198" t="s">
        <v>0</v>
      </c>
      <c r="K667" s="197" t="str">
        <f>$E667</f>
        <v>2,2 mc</v>
      </c>
      <c r="L667" s="198">
        <v>47498936</v>
      </c>
    </row>
    <row r="668" spans="1:12" ht="16.5" customHeight="1">
      <c r="A668" s="1"/>
      <c r="B668" s="1" t="s">
        <v>4</v>
      </c>
      <c r="C668" s="205" t="s">
        <v>147</v>
      </c>
      <c r="D668" s="25" t="s">
        <v>3</v>
      </c>
      <c r="E668" s="201" t="s">
        <v>2</v>
      </c>
      <c r="F668" s="2" t="s">
        <v>14</v>
      </c>
      <c r="G668" s="197" t="str">
        <f>$E668</f>
        <v>3,1 mc</v>
      </c>
      <c r="H668" s="198">
        <v>47498937</v>
      </c>
      <c r="I668" s="197" t="s">
        <v>0</v>
      </c>
      <c r="J668" s="198" t="s">
        <v>0</v>
      </c>
      <c r="K668" s="197" t="str">
        <f>$E668</f>
        <v>3,1 mc</v>
      </c>
      <c r="L668" s="198">
        <v>47498937</v>
      </c>
    </row>
    <row r="669" spans="1:12" ht="16.5" customHeight="1">
      <c r="A669" s="1"/>
      <c r="B669" s="196" t="s">
        <v>4</v>
      </c>
      <c r="C669" s="8" t="s">
        <v>13</v>
      </c>
      <c r="D669" s="8" t="s">
        <v>3</v>
      </c>
      <c r="E669" s="7">
        <v>10</v>
      </c>
      <c r="F669" s="15" t="s">
        <v>1</v>
      </c>
      <c r="G669" s="197">
        <f>$E669</f>
        <v>10</v>
      </c>
      <c r="H669" s="14">
        <v>47498960</v>
      </c>
      <c r="I669" s="14" t="s">
        <v>0</v>
      </c>
      <c r="J669" s="14" t="s">
        <v>0</v>
      </c>
      <c r="K669" s="197">
        <f>$E669</f>
        <v>10</v>
      </c>
      <c r="L669" s="14">
        <v>47498960</v>
      </c>
    </row>
    <row r="670" spans="1:12" ht="16.5" customHeight="1">
      <c r="A670" s="1"/>
      <c r="B670" s="1" t="s">
        <v>11</v>
      </c>
      <c r="C670" s="6" t="s">
        <v>13</v>
      </c>
      <c r="D670" s="6" t="s">
        <v>3</v>
      </c>
      <c r="E670" s="5">
        <v>10</v>
      </c>
      <c r="F670" s="12" t="s">
        <v>1</v>
      </c>
      <c r="G670" s="13">
        <v>750</v>
      </c>
      <c r="H670" s="9">
        <v>47498960</v>
      </c>
      <c r="I670" s="9" t="s">
        <v>0</v>
      </c>
      <c r="J670" s="9" t="s">
        <v>0</v>
      </c>
      <c r="K670" s="13">
        <v>645</v>
      </c>
      <c r="L670" s="9">
        <v>47498960</v>
      </c>
    </row>
    <row r="671" spans="1:12" ht="16.5" customHeight="1">
      <c r="A671" s="1"/>
      <c r="B671" s="1" t="s">
        <v>10</v>
      </c>
      <c r="C671" s="6" t="s">
        <v>13</v>
      </c>
      <c r="D671" s="6" t="s">
        <v>3</v>
      </c>
      <c r="E671" s="5">
        <v>10</v>
      </c>
      <c r="F671" s="12" t="s">
        <v>1</v>
      </c>
      <c r="G671" s="13">
        <v>3500</v>
      </c>
      <c r="H671" s="9">
        <v>47498960</v>
      </c>
      <c r="I671" s="13" t="s">
        <v>0</v>
      </c>
      <c r="J671" s="9" t="s">
        <v>0</v>
      </c>
      <c r="K671" s="13">
        <v>3500</v>
      </c>
      <c r="L671" s="9">
        <v>47498960</v>
      </c>
    </row>
    <row r="672" spans="1:12" ht="16.5" customHeight="1">
      <c r="A672" s="1"/>
      <c r="B672" s="1" t="s">
        <v>9</v>
      </c>
      <c r="C672" s="6" t="s">
        <v>13</v>
      </c>
      <c r="D672" s="6" t="s">
        <v>3</v>
      </c>
      <c r="E672" s="5">
        <v>10</v>
      </c>
      <c r="F672" s="12" t="s">
        <v>1</v>
      </c>
      <c r="G672" s="13">
        <v>3950</v>
      </c>
      <c r="H672" s="9">
        <v>47498960</v>
      </c>
      <c r="I672" s="13" t="s">
        <v>0</v>
      </c>
      <c r="J672" s="9" t="s">
        <v>0</v>
      </c>
      <c r="K672" s="13">
        <v>3950</v>
      </c>
      <c r="L672" s="9">
        <v>47498960</v>
      </c>
    </row>
    <row r="673" spans="1:12" ht="16.5" customHeight="1">
      <c r="A673" s="1"/>
      <c r="B673" s="1" t="s">
        <v>8</v>
      </c>
      <c r="C673" s="6" t="s">
        <v>13</v>
      </c>
      <c r="D673" s="6" t="s">
        <v>3</v>
      </c>
      <c r="E673" s="5">
        <v>10</v>
      </c>
      <c r="F673" s="12" t="s">
        <v>1</v>
      </c>
      <c r="G673" s="13">
        <v>2838</v>
      </c>
      <c r="H673" s="9">
        <v>47498960</v>
      </c>
      <c r="I673" s="9" t="s">
        <v>0</v>
      </c>
      <c r="J673" s="9" t="s">
        <v>0</v>
      </c>
      <c r="K673" s="13">
        <v>3255</v>
      </c>
      <c r="L673" s="9">
        <v>47498960</v>
      </c>
    </row>
    <row r="674" spans="1:12" ht="16.5" customHeight="1">
      <c r="A674" s="1"/>
      <c r="B674" s="23" t="s">
        <v>7</v>
      </c>
      <c r="C674" s="4" t="s">
        <v>13</v>
      </c>
      <c r="D674" s="4" t="s">
        <v>3</v>
      </c>
      <c r="E674" s="3">
        <v>10</v>
      </c>
      <c r="F674" s="12" t="s">
        <v>1</v>
      </c>
      <c r="G674" s="10">
        <v>1509</v>
      </c>
      <c r="H674" s="9">
        <v>47498960</v>
      </c>
      <c r="I674" s="11" t="s">
        <v>0</v>
      </c>
      <c r="J674" s="9" t="s">
        <v>0</v>
      </c>
      <c r="K674" s="10">
        <v>1552</v>
      </c>
      <c r="L674" s="9">
        <v>47498960</v>
      </c>
    </row>
    <row r="675" spans="1:12" ht="16.5" customHeight="1">
      <c r="A675" s="1"/>
      <c r="B675" s="196" t="s">
        <v>4</v>
      </c>
      <c r="C675" s="8" t="s">
        <v>13</v>
      </c>
      <c r="D675" s="8" t="s">
        <v>3</v>
      </c>
      <c r="E675" s="7">
        <v>11</v>
      </c>
      <c r="F675" s="15" t="s">
        <v>1</v>
      </c>
      <c r="G675" s="197">
        <f>$E675</f>
        <v>11</v>
      </c>
      <c r="H675" s="14">
        <v>47498961</v>
      </c>
      <c r="I675" s="14" t="s">
        <v>0</v>
      </c>
      <c r="J675" s="14" t="s">
        <v>0</v>
      </c>
      <c r="K675" s="197">
        <f>$E675</f>
        <v>11</v>
      </c>
      <c r="L675" s="14">
        <v>47498961</v>
      </c>
    </row>
    <row r="676" spans="1:12" ht="16.5" customHeight="1">
      <c r="A676" s="1"/>
      <c r="B676" s="1" t="s">
        <v>11</v>
      </c>
      <c r="C676" s="6" t="s">
        <v>13</v>
      </c>
      <c r="D676" s="6" t="s">
        <v>3</v>
      </c>
      <c r="E676" s="5">
        <v>11</v>
      </c>
      <c r="F676" s="12" t="s">
        <v>1</v>
      </c>
      <c r="G676" s="13">
        <v>670</v>
      </c>
      <c r="H676" s="9">
        <v>47498961</v>
      </c>
      <c r="I676" s="9" t="s">
        <v>0</v>
      </c>
      <c r="J676" s="9" t="s">
        <v>0</v>
      </c>
      <c r="K676" s="13">
        <v>575</v>
      </c>
      <c r="L676" s="9">
        <v>47498961</v>
      </c>
    </row>
    <row r="677" spans="1:12" ht="16.5" customHeight="1">
      <c r="A677" s="1"/>
      <c r="B677" s="1" t="s">
        <v>10</v>
      </c>
      <c r="C677" s="6" t="s">
        <v>13</v>
      </c>
      <c r="D677" s="6" t="s">
        <v>3</v>
      </c>
      <c r="E677" s="5">
        <v>11</v>
      </c>
      <c r="F677" s="12" t="s">
        <v>1</v>
      </c>
      <c r="G677" s="13">
        <v>3750</v>
      </c>
      <c r="H677" s="9">
        <v>47498961</v>
      </c>
      <c r="I677" s="13" t="s">
        <v>0</v>
      </c>
      <c r="J677" s="9" t="s">
        <v>0</v>
      </c>
      <c r="K677" s="13">
        <v>3750</v>
      </c>
      <c r="L677" s="9">
        <v>47498961</v>
      </c>
    </row>
    <row r="678" spans="1:12" ht="16.5" customHeight="1">
      <c r="A678" s="1"/>
      <c r="B678" s="1" t="s">
        <v>9</v>
      </c>
      <c r="C678" s="6" t="s">
        <v>13</v>
      </c>
      <c r="D678" s="6" t="s">
        <v>3</v>
      </c>
      <c r="E678" s="5">
        <v>11</v>
      </c>
      <c r="F678" s="12" t="s">
        <v>1</v>
      </c>
      <c r="G678" s="13">
        <v>4100</v>
      </c>
      <c r="H678" s="9">
        <v>47498961</v>
      </c>
      <c r="I678" s="13" t="s">
        <v>0</v>
      </c>
      <c r="J678" s="9" t="s">
        <v>0</v>
      </c>
      <c r="K678" s="13">
        <v>4100</v>
      </c>
      <c r="L678" s="9">
        <v>47498961</v>
      </c>
    </row>
    <row r="679" spans="1:12" ht="16.5" customHeight="1">
      <c r="A679" s="1"/>
      <c r="B679" s="1" t="s">
        <v>8</v>
      </c>
      <c r="C679" s="6" t="s">
        <v>13</v>
      </c>
      <c r="D679" s="6" t="s">
        <v>3</v>
      </c>
      <c r="E679" s="5">
        <v>11</v>
      </c>
      <c r="F679" s="12" t="s">
        <v>1</v>
      </c>
      <c r="G679" s="13">
        <v>2838</v>
      </c>
      <c r="H679" s="9">
        <v>47498961</v>
      </c>
      <c r="I679" s="9" t="s">
        <v>0</v>
      </c>
      <c r="J679" s="9" t="s">
        <v>0</v>
      </c>
      <c r="K679" s="13">
        <v>3255</v>
      </c>
      <c r="L679" s="9">
        <v>47498961</v>
      </c>
    </row>
    <row r="680" spans="1:12" ht="16.5" customHeight="1">
      <c r="A680" s="1"/>
      <c r="B680" s="23" t="s">
        <v>7</v>
      </c>
      <c r="C680" s="4" t="s">
        <v>13</v>
      </c>
      <c r="D680" s="4" t="s">
        <v>3</v>
      </c>
      <c r="E680" s="3">
        <v>11</v>
      </c>
      <c r="F680" s="12" t="s">
        <v>1</v>
      </c>
      <c r="G680" s="10">
        <v>1509</v>
      </c>
      <c r="H680" s="9">
        <v>47498961</v>
      </c>
      <c r="I680" s="11" t="s">
        <v>0</v>
      </c>
      <c r="J680" s="9" t="s">
        <v>0</v>
      </c>
      <c r="K680" s="10">
        <v>1552</v>
      </c>
      <c r="L680" s="9">
        <v>47498961</v>
      </c>
    </row>
    <row r="681" spans="1:12" ht="16.5" customHeight="1">
      <c r="A681" s="1"/>
      <c r="B681" s="196" t="s">
        <v>4</v>
      </c>
      <c r="C681" s="8" t="s">
        <v>13</v>
      </c>
      <c r="D681" s="8" t="s">
        <v>3</v>
      </c>
      <c r="E681" s="7">
        <v>12</v>
      </c>
      <c r="F681" s="15" t="s">
        <v>1</v>
      </c>
      <c r="G681" s="197">
        <f>$E681</f>
        <v>12</v>
      </c>
      <c r="H681" s="14">
        <v>47498962</v>
      </c>
      <c r="I681" s="14" t="s">
        <v>0</v>
      </c>
      <c r="J681" s="14" t="s">
        <v>0</v>
      </c>
      <c r="K681" s="197">
        <f>$E681</f>
        <v>12</v>
      </c>
      <c r="L681" s="14">
        <v>47498962</v>
      </c>
    </row>
    <row r="682" spans="1:12" ht="16.5" customHeight="1">
      <c r="A682" s="1"/>
      <c r="B682" s="1" t="s">
        <v>11</v>
      </c>
      <c r="C682" s="6" t="s">
        <v>13</v>
      </c>
      <c r="D682" s="6" t="s">
        <v>3</v>
      </c>
      <c r="E682" s="5">
        <v>12</v>
      </c>
      <c r="F682" s="12" t="s">
        <v>1</v>
      </c>
      <c r="G682" s="13">
        <v>600</v>
      </c>
      <c r="H682" s="9">
        <v>47498962</v>
      </c>
      <c r="I682" s="9" t="s">
        <v>0</v>
      </c>
      <c r="J682" s="9" t="s">
        <v>0</v>
      </c>
      <c r="K682" s="13">
        <v>515</v>
      </c>
      <c r="L682" s="9">
        <v>47498962</v>
      </c>
    </row>
    <row r="683" spans="1:12" ht="16.5" customHeight="1">
      <c r="A683" s="1"/>
      <c r="B683" s="1" t="s">
        <v>10</v>
      </c>
      <c r="C683" s="6" t="s">
        <v>13</v>
      </c>
      <c r="D683" s="6" t="s">
        <v>3</v>
      </c>
      <c r="E683" s="5">
        <v>12</v>
      </c>
      <c r="F683" s="12" t="s">
        <v>1</v>
      </c>
      <c r="G683" s="13">
        <v>4000</v>
      </c>
      <c r="H683" s="9">
        <v>47498962</v>
      </c>
      <c r="I683" s="13" t="s">
        <v>0</v>
      </c>
      <c r="J683" s="9" t="s">
        <v>0</v>
      </c>
      <c r="K683" s="13">
        <v>4000</v>
      </c>
      <c r="L683" s="9">
        <v>47498962</v>
      </c>
    </row>
    <row r="684" spans="1:12" ht="16.5" customHeight="1">
      <c r="A684" s="1"/>
      <c r="B684" s="1" t="s">
        <v>9</v>
      </c>
      <c r="C684" s="6" t="s">
        <v>13</v>
      </c>
      <c r="D684" s="6" t="s">
        <v>3</v>
      </c>
      <c r="E684" s="5">
        <v>12</v>
      </c>
      <c r="F684" s="12" t="s">
        <v>1</v>
      </c>
      <c r="G684" s="13">
        <v>4200</v>
      </c>
      <c r="H684" s="9">
        <v>47498962</v>
      </c>
      <c r="I684" s="13" t="s">
        <v>0</v>
      </c>
      <c r="J684" s="9" t="s">
        <v>0</v>
      </c>
      <c r="K684" s="13">
        <v>4200</v>
      </c>
      <c r="L684" s="9">
        <v>47498962</v>
      </c>
    </row>
    <row r="685" spans="1:12" ht="16.5" customHeight="1">
      <c r="A685" s="1"/>
      <c r="B685" s="1" t="s">
        <v>8</v>
      </c>
      <c r="C685" s="6" t="s">
        <v>13</v>
      </c>
      <c r="D685" s="6" t="s">
        <v>3</v>
      </c>
      <c r="E685" s="5">
        <v>12</v>
      </c>
      <c r="F685" s="12" t="s">
        <v>1</v>
      </c>
      <c r="G685" s="13">
        <v>2837</v>
      </c>
      <c r="H685" s="9">
        <v>47498962</v>
      </c>
      <c r="I685" s="9" t="s">
        <v>0</v>
      </c>
      <c r="J685" s="9" t="s">
        <v>0</v>
      </c>
      <c r="K685" s="13">
        <v>3255</v>
      </c>
      <c r="L685" s="9">
        <v>47498962</v>
      </c>
    </row>
    <row r="686" spans="1:12" ht="16.5" customHeight="1">
      <c r="A686" s="1"/>
      <c r="B686" s="23" t="s">
        <v>7</v>
      </c>
      <c r="C686" s="4" t="s">
        <v>13</v>
      </c>
      <c r="D686" s="4" t="s">
        <v>3</v>
      </c>
      <c r="E686" s="3">
        <v>12</v>
      </c>
      <c r="F686" s="12" t="s">
        <v>1</v>
      </c>
      <c r="G686" s="10">
        <v>1509</v>
      </c>
      <c r="H686" s="9">
        <v>47498962</v>
      </c>
      <c r="I686" s="11" t="s">
        <v>0</v>
      </c>
      <c r="J686" s="9" t="s">
        <v>0</v>
      </c>
      <c r="K686" s="10">
        <v>1552</v>
      </c>
      <c r="L686" s="9">
        <v>47498962</v>
      </c>
    </row>
    <row r="687" spans="1:12" ht="16.5" customHeight="1">
      <c r="A687" s="1"/>
      <c r="B687" s="196" t="s">
        <v>4</v>
      </c>
      <c r="C687" s="8" t="s">
        <v>13</v>
      </c>
      <c r="D687" s="8" t="s">
        <v>3</v>
      </c>
      <c r="E687" s="7">
        <v>14</v>
      </c>
      <c r="F687" s="15" t="s">
        <v>1</v>
      </c>
      <c r="G687" s="197">
        <f>$E687</f>
        <v>14</v>
      </c>
      <c r="H687" s="14">
        <v>47498963</v>
      </c>
      <c r="I687" s="14" t="s">
        <v>0</v>
      </c>
      <c r="J687" s="14" t="s">
        <v>0</v>
      </c>
      <c r="K687" s="197">
        <f>$E687</f>
        <v>14</v>
      </c>
      <c r="L687" s="14">
        <v>47498963</v>
      </c>
    </row>
    <row r="688" spans="1:12" ht="16.5" customHeight="1">
      <c r="A688" s="1"/>
      <c r="B688" s="1" t="s">
        <v>11</v>
      </c>
      <c r="C688" s="6" t="s">
        <v>13</v>
      </c>
      <c r="D688" s="6" t="s">
        <v>3</v>
      </c>
      <c r="E688" s="5">
        <v>14</v>
      </c>
      <c r="F688" s="12" t="s">
        <v>1</v>
      </c>
      <c r="G688" s="13">
        <v>490</v>
      </c>
      <c r="H688" s="9">
        <v>47498963</v>
      </c>
      <c r="I688" s="9" t="s">
        <v>0</v>
      </c>
      <c r="J688" s="9" t="s">
        <v>0</v>
      </c>
      <c r="K688" s="13">
        <v>415</v>
      </c>
      <c r="L688" s="9">
        <v>47498963</v>
      </c>
    </row>
    <row r="689" spans="1:12" ht="16.5" customHeight="1">
      <c r="A689" s="1"/>
      <c r="B689" s="1" t="s">
        <v>10</v>
      </c>
      <c r="C689" s="6" t="s">
        <v>13</v>
      </c>
      <c r="D689" s="6" t="s">
        <v>3</v>
      </c>
      <c r="E689" s="5">
        <v>14</v>
      </c>
      <c r="F689" s="12" t="s">
        <v>1</v>
      </c>
      <c r="G689" s="13">
        <v>4500</v>
      </c>
      <c r="H689" s="9">
        <v>47498963</v>
      </c>
      <c r="I689" s="13" t="s">
        <v>0</v>
      </c>
      <c r="J689" s="9" t="s">
        <v>0</v>
      </c>
      <c r="K689" s="13">
        <v>4500</v>
      </c>
      <c r="L689" s="9">
        <v>47498963</v>
      </c>
    </row>
    <row r="690" spans="1:12" ht="16.5" customHeight="1">
      <c r="A690" s="1"/>
      <c r="B690" s="1" t="s">
        <v>9</v>
      </c>
      <c r="C690" s="6" t="s">
        <v>13</v>
      </c>
      <c r="D690" s="6" t="s">
        <v>3</v>
      </c>
      <c r="E690" s="5">
        <v>14</v>
      </c>
      <c r="F690" s="12" t="s">
        <v>1</v>
      </c>
      <c r="G690" s="13">
        <v>4600</v>
      </c>
      <c r="H690" s="9">
        <v>47498963</v>
      </c>
      <c r="I690" s="13" t="s">
        <v>0</v>
      </c>
      <c r="J690" s="9" t="s">
        <v>0</v>
      </c>
      <c r="K690" s="13">
        <v>4600</v>
      </c>
      <c r="L690" s="9">
        <v>47498963</v>
      </c>
    </row>
    <row r="691" spans="1:12" ht="16.5" customHeight="1">
      <c r="A691" s="1"/>
      <c r="B691" s="1" t="s">
        <v>8</v>
      </c>
      <c r="C691" s="6" t="s">
        <v>13</v>
      </c>
      <c r="D691" s="6" t="s">
        <v>3</v>
      </c>
      <c r="E691" s="5">
        <v>14</v>
      </c>
      <c r="F691" s="12" t="s">
        <v>1</v>
      </c>
      <c r="G691" s="13">
        <v>2837</v>
      </c>
      <c r="H691" s="9">
        <v>47498963</v>
      </c>
      <c r="I691" s="9" t="s">
        <v>0</v>
      </c>
      <c r="J691" s="9" t="s">
        <v>0</v>
      </c>
      <c r="K691" s="13">
        <v>3254</v>
      </c>
      <c r="L691" s="9">
        <v>47498963</v>
      </c>
    </row>
    <row r="692" spans="1:12" ht="16.5" customHeight="1">
      <c r="A692" s="1"/>
      <c r="B692" s="23" t="s">
        <v>7</v>
      </c>
      <c r="C692" s="4" t="s">
        <v>13</v>
      </c>
      <c r="D692" s="4" t="s">
        <v>3</v>
      </c>
      <c r="E692" s="3">
        <v>14</v>
      </c>
      <c r="F692" s="12" t="s">
        <v>1</v>
      </c>
      <c r="G692" s="10">
        <v>1509</v>
      </c>
      <c r="H692" s="9">
        <v>47498963</v>
      </c>
      <c r="I692" s="11" t="s">
        <v>0</v>
      </c>
      <c r="J692" s="9" t="s">
        <v>0</v>
      </c>
      <c r="K692" s="10">
        <v>1552</v>
      </c>
      <c r="L692" s="9">
        <v>47498963</v>
      </c>
    </row>
    <row r="693" spans="1:12" ht="16.5" customHeight="1">
      <c r="A693" s="1"/>
      <c r="B693" s="196" t="s">
        <v>4</v>
      </c>
      <c r="C693" s="8" t="s">
        <v>13</v>
      </c>
      <c r="D693" s="8" t="s">
        <v>3</v>
      </c>
      <c r="E693" s="7">
        <v>16</v>
      </c>
      <c r="F693" s="15" t="s">
        <v>1</v>
      </c>
      <c r="G693" s="197">
        <f>$E693</f>
        <v>16</v>
      </c>
      <c r="H693" s="14">
        <v>47498964</v>
      </c>
      <c r="I693" s="14" t="s">
        <v>0</v>
      </c>
      <c r="J693" s="14" t="s">
        <v>0</v>
      </c>
      <c r="K693" s="197">
        <f>$E693</f>
        <v>16</v>
      </c>
      <c r="L693" s="14">
        <v>47498964</v>
      </c>
    </row>
    <row r="694" spans="1:12" ht="16.5" customHeight="1">
      <c r="A694" s="1"/>
      <c r="B694" s="1" t="s">
        <v>11</v>
      </c>
      <c r="C694" s="6" t="s">
        <v>13</v>
      </c>
      <c r="D694" s="6" t="s">
        <v>3</v>
      </c>
      <c r="E694" s="5">
        <v>16</v>
      </c>
      <c r="F694" s="12" t="s">
        <v>1</v>
      </c>
      <c r="G694" s="13">
        <v>410</v>
      </c>
      <c r="H694" s="9">
        <v>47498964</v>
      </c>
      <c r="I694" s="9" t="s">
        <v>0</v>
      </c>
      <c r="J694" s="9" t="s">
        <v>0</v>
      </c>
      <c r="K694" s="13">
        <v>340</v>
      </c>
      <c r="L694" s="9">
        <v>47498964</v>
      </c>
    </row>
    <row r="695" spans="1:12" ht="16.5" customHeight="1">
      <c r="A695" s="1"/>
      <c r="B695" s="1" t="s">
        <v>10</v>
      </c>
      <c r="C695" s="6" t="s">
        <v>13</v>
      </c>
      <c r="D695" s="6" t="s">
        <v>3</v>
      </c>
      <c r="E695" s="5">
        <v>16</v>
      </c>
      <c r="F695" s="12" t="s">
        <v>1</v>
      </c>
      <c r="G695" s="13">
        <v>4500</v>
      </c>
      <c r="H695" s="9">
        <v>47498964</v>
      </c>
      <c r="I695" s="13" t="s">
        <v>0</v>
      </c>
      <c r="J695" s="9" t="s">
        <v>0</v>
      </c>
      <c r="K695" s="13">
        <v>4500</v>
      </c>
      <c r="L695" s="9">
        <v>47498964</v>
      </c>
    </row>
    <row r="696" spans="1:12" ht="16.5" customHeight="1">
      <c r="A696" s="1"/>
      <c r="B696" s="1" t="s">
        <v>9</v>
      </c>
      <c r="C696" s="6" t="s">
        <v>13</v>
      </c>
      <c r="D696" s="6" t="s">
        <v>3</v>
      </c>
      <c r="E696" s="5">
        <v>16</v>
      </c>
      <c r="F696" s="12" t="s">
        <v>1</v>
      </c>
      <c r="G696" s="13">
        <v>5300</v>
      </c>
      <c r="H696" s="9">
        <v>47498964</v>
      </c>
      <c r="I696" s="13" t="s">
        <v>0</v>
      </c>
      <c r="J696" s="9" t="s">
        <v>0</v>
      </c>
      <c r="K696" s="13">
        <v>5300</v>
      </c>
      <c r="L696" s="9">
        <v>47498964</v>
      </c>
    </row>
    <row r="697" spans="1:12" ht="16.5" customHeight="1">
      <c r="A697" s="1"/>
      <c r="B697" s="1" t="s">
        <v>8</v>
      </c>
      <c r="C697" s="6" t="s">
        <v>13</v>
      </c>
      <c r="D697" s="6" t="s">
        <v>3</v>
      </c>
      <c r="E697" s="5">
        <v>16</v>
      </c>
      <c r="F697" s="12" t="s">
        <v>1</v>
      </c>
      <c r="G697" s="13">
        <v>2817</v>
      </c>
      <c r="H697" s="9">
        <v>47498964</v>
      </c>
      <c r="I697" s="9" t="s">
        <v>0</v>
      </c>
      <c r="J697" s="9" t="s">
        <v>0</v>
      </c>
      <c r="K697" s="13">
        <v>3234</v>
      </c>
      <c r="L697" s="9">
        <v>47498964</v>
      </c>
    </row>
    <row r="698" spans="1:12" ht="16.5" customHeight="1">
      <c r="A698" s="1"/>
      <c r="B698" s="23" t="s">
        <v>7</v>
      </c>
      <c r="C698" s="4" t="s">
        <v>13</v>
      </c>
      <c r="D698" s="4" t="s">
        <v>3</v>
      </c>
      <c r="E698" s="3">
        <v>16</v>
      </c>
      <c r="F698" s="12" t="s">
        <v>1</v>
      </c>
      <c r="G698" s="10">
        <v>1667</v>
      </c>
      <c r="H698" s="9">
        <v>47498964</v>
      </c>
      <c r="I698" s="11" t="s">
        <v>0</v>
      </c>
      <c r="J698" s="9" t="s">
        <v>0</v>
      </c>
      <c r="K698" s="10">
        <v>1710</v>
      </c>
      <c r="L698" s="9">
        <v>47498964</v>
      </c>
    </row>
    <row r="699" spans="1:12" ht="16.5" customHeight="1">
      <c r="A699" s="1"/>
      <c r="B699" s="196" t="s">
        <v>4</v>
      </c>
      <c r="C699" s="8" t="s">
        <v>12</v>
      </c>
      <c r="D699" s="8" t="s">
        <v>3</v>
      </c>
      <c r="E699" s="7">
        <v>8</v>
      </c>
      <c r="F699" s="15" t="s">
        <v>1</v>
      </c>
      <c r="G699" s="197">
        <f>$E699</f>
        <v>8</v>
      </c>
      <c r="H699" s="14">
        <v>47498965</v>
      </c>
      <c r="I699" s="14" t="s">
        <v>0</v>
      </c>
      <c r="J699" s="14" t="s">
        <v>0</v>
      </c>
      <c r="K699" s="197">
        <f>$E699</f>
        <v>8</v>
      </c>
      <c r="L699" s="14">
        <v>47498965</v>
      </c>
    </row>
    <row r="700" spans="1:12" ht="16.5" customHeight="1">
      <c r="A700" s="1"/>
      <c r="B700" s="1" t="s">
        <v>11</v>
      </c>
      <c r="C700" s="6" t="s">
        <v>12</v>
      </c>
      <c r="D700" s="6" t="s">
        <v>3</v>
      </c>
      <c r="E700" s="5">
        <v>8</v>
      </c>
      <c r="F700" s="12" t="s">
        <v>1</v>
      </c>
      <c r="G700" s="13">
        <v>995</v>
      </c>
      <c r="H700" s="9">
        <v>47498965</v>
      </c>
      <c r="I700" s="9" t="s">
        <v>0</v>
      </c>
      <c r="J700" s="9" t="s">
        <v>0</v>
      </c>
      <c r="K700" s="13">
        <v>855</v>
      </c>
      <c r="L700" s="9">
        <v>47498965</v>
      </c>
    </row>
    <row r="701" spans="1:12" ht="16.5" customHeight="1">
      <c r="A701" s="1"/>
      <c r="B701" s="1" t="s">
        <v>10</v>
      </c>
      <c r="C701" s="6" t="s">
        <v>12</v>
      </c>
      <c r="D701" s="6" t="s">
        <v>3</v>
      </c>
      <c r="E701" s="5">
        <v>8</v>
      </c>
      <c r="F701" s="12" t="s">
        <v>1</v>
      </c>
      <c r="G701" s="13">
        <v>3750</v>
      </c>
      <c r="H701" s="9">
        <v>47498965</v>
      </c>
      <c r="I701" s="13" t="s">
        <v>0</v>
      </c>
      <c r="J701" s="9" t="s">
        <v>0</v>
      </c>
      <c r="K701" s="13">
        <v>3750</v>
      </c>
      <c r="L701" s="9">
        <v>47498965</v>
      </c>
    </row>
    <row r="702" spans="1:12" ht="16.5" customHeight="1">
      <c r="A702" s="1"/>
      <c r="B702" s="1" t="s">
        <v>9</v>
      </c>
      <c r="C702" s="6" t="s">
        <v>12</v>
      </c>
      <c r="D702" s="6" t="s">
        <v>3</v>
      </c>
      <c r="E702" s="5">
        <v>8</v>
      </c>
      <c r="F702" s="12" t="s">
        <v>1</v>
      </c>
      <c r="G702" s="13">
        <v>3790</v>
      </c>
      <c r="H702" s="9">
        <v>47498965</v>
      </c>
      <c r="I702" s="13" t="s">
        <v>0</v>
      </c>
      <c r="J702" s="9" t="s">
        <v>0</v>
      </c>
      <c r="K702" s="13">
        <v>3790</v>
      </c>
      <c r="L702" s="9">
        <v>47498965</v>
      </c>
    </row>
    <row r="703" spans="1:12" ht="16.5" customHeight="1">
      <c r="A703" s="1"/>
      <c r="B703" s="1" t="s">
        <v>8</v>
      </c>
      <c r="C703" s="6" t="s">
        <v>12</v>
      </c>
      <c r="D703" s="6" t="s">
        <v>3</v>
      </c>
      <c r="E703" s="5">
        <v>8</v>
      </c>
      <c r="F703" s="12" t="s">
        <v>1</v>
      </c>
      <c r="G703" s="13">
        <v>5196</v>
      </c>
      <c r="H703" s="9">
        <v>47498965</v>
      </c>
      <c r="I703" s="9" t="s">
        <v>0</v>
      </c>
      <c r="J703" s="9" t="s">
        <v>0</v>
      </c>
      <c r="K703" s="13">
        <v>5638</v>
      </c>
      <c r="L703" s="9">
        <v>47498965</v>
      </c>
    </row>
    <row r="704" spans="1:12" ht="16.5" customHeight="1">
      <c r="A704" s="1"/>
      <c r="B704" s="23" t="s">
        <v>7</v>
      </c>
      <c r="C704" s="4" t="s">
        <v>12</v>
      </c>
      <c r="D704" s="4" t="s">
        <v>3</v>
      </c>
      <c r="E704" s="3">
        <v>8</v>
      </c>
      <c r="F704" s="12" t="s">
        <v>1</v>
      </c>
      <c r="G704" s="10">
        <v>1429</v>
      </c>
      <c r="H704" s="9">
        <v>47498965</v>
      </c>
      <c r="I704" s="11" t="s">
        <v>0</v>
      </c>
      <c r="J704" s="9" t="s">
        <v>0</v>
      </c>
      <c r="K704" s="10">
        <v>1456</v>
      </c>
      <c r="L704" s="9">
        <v>47498965</v>
      </c>
    </row>
    <row r="705" spans="1:12" ht="16.5" customHeight="1">
      <c r="A705" s="1"/>
      <c r="B705" s="196" t="s">
        <v>4</v>
      </c>
      <c r="C705" s="8" t="s">
        <v>12</v>
      </c>
      <c r="D705" s="8" t="s">
        <v>3</v>
      </c>
      <c r="E705" s="7">
        <v>10</v>
      </c>
      <c r="F705" s="15" t="s">
        <v>1</v>
      </c>
      <c r="G705" s="197">
        <f>$E705</f>
        <v>10</v>
      </c>
      <c r="H705" s="14">
        <v>47498966</v>
      </c>
      <c r="I705" s="14" t="s">
        <v>0</v>
      </c>
      <c r="J705" s="14" t="s">
        <v>0</v>
      </c>
      <c r="K705" s="197">
        <f>$E705</f>
        <v>10</v>
      </c>
      <c r="L705" s="14">
        <v>47498966</v>
      </c>
    </row>
    <row r="706" spans="1:12" ht="16.5" customHeight="1">
      <c r="A706" s="1"/>
      <c r="B706" s="1" t="s">
        <v>11</v>
      </c>
      <c r="C706" s="6" t="s">
        <v>12</v>
      </c>
      <c r="D706" s="6" t="s">
        <v>3</v>
      </c>
      <c r="E706" s="5">
        <v>10</v>
      </c>
      <c r="F706" s="12" t="s">
        <v>1</v>
      </c>
      <c r="G706" s="13">
        <v>740</v>
      </c>
      <c r="H706" s="9">
        <v>47498966</v>
      </c>
      <c r="I706" s="9" t="s">
        <v>0</v>
      </c>
      <c r="J706" s="9" t="s">
        <v>0</v>
      </c>
      <c r="K706" s="13">
        <v>630</v>
      </c>
      <c r="L706" s="9">
        <v>47498966</v>
      </c>
    </row>
    <row r="707" spans="1:12" ht="16.5" customHeight="1">
      <c r="A707" s="1"/>
      <c r="B707" s="1" t="s">
        <v>10</v>
      </c>
      <c r="C707" s="6" t="s">
        <v>12</v>
      </c>
      <c r="D707" s="6" t="s">
        <v>3</v>
      </c>
      <c r="E707" s="5">
        <v>10</v>
      </c>
      <c r="F707" s="12" t="s">
        <v>1</v>
      </c>
      <c r="G707" s="13">
        <v>4400</v>
      </c>
      <c r="H707" s="9">
        <v>47498966</v>
      </c>
      <c r="I707" s="13" t="s">
        <v>0</v>
      </c>
      <c r="J707" s="9" t="s">
        <v>0</v>
      </c>
      <c r="K707" s="13">
        <v>4400</v>
      </c>
      <c r="L707" s="9">
        <v>47498966</v>
      </c>
    </row>
    <row r="708" spans="1:12" ht="16.5" customHeight="1">
      <c r="A708" s="1"/>
      <c r="B708" s="1" t="s">
        <v>9</v>
      </c>
      <c r="C708" s="6" t="s">
        <v>12</v>
      </c>
      <c r="D708" s="6" t="s">
        <v>3</v>
      </c>
      <c r="E708" s="5">
        <v>10</v>
      </c>
      <c r="F708" s="12" t="s">
        <v>1</v>
      </c>
      <c r="G708" s="13">
        <v>4290</v>
      </c>
      <c r="H708" s="9">
        <v>47498966</v>
      </c>
      <c r="I708" s="13" t="s">
        <v>0</v>
      </c>
      <c r="J708" s="9" t="s">
        <v>0</v>
      </c>
      <c r="K708" s="13">
        <v>4290</v>
      </c>
      <c r="L708" s="9">
        <v>47498966</v>
      </c>
    </row>
    <row r="709" spans="1:12" ht="16.5" customHeight="1">
      <c r="A709" s="1"/>
      <c r="B709" s="1" t="s">
        <v>8</v>
      </c>
      <c r="C709" s="6" t="s">
        <v>12</v>
      </c>
      <c r="D709" s="6" t="s">
        <v>3</v>
      </c>
      <c r="E709" s="5">
        <v>10</v>
      </c>
      <c r="F709" s="12" t="s">
        <v>1</v>
      </c>
      <c r="G709" s="13">
        <v>5195</v>
      </c>
      <c r="H709" s="9">
        <v>47498966</v>
      </c>
      <c r="I709" s="9" t="s">
        <v>0</v>
      </c>
      <c r="J709" s="9" t="s">
        <v>0</v>
      </c>
      <c r="K709" s="13">
        <v>5637</v>
      </c>
      <c r="L709" s="9">
        <v>47498966</v>
      </c>
    </row>
    <row r="710" spans="1:12" ht="16.5" customHeight="1">
      <c r="A710" s="1"/>
      <c r="B710" s="23" t="s">
        <v>7</v>
      </c>
      <c r="C710" s="4" t="s">
        <v>12</v>
      </c>
      <c r="D710" s="4" t="s">
        <v>3</v>
      </c>
      <c r="E710" s="3">
        <v>10</v>
      </c>
      <c r="F710" s="12" t="s">
        <v>1</v>
      </c>
      <c r="G710" s="10">
        <v>1429</v>
      </c>
      <c r="H710" s="9">
        <v>47498966</v>
      </c>
      <c r="I710" s="11" t="s">
        <v>0</v>
      </c>
      <c r="J710" s="9" t="s">
        <v>0</v>
      </c>
      <c r="K710" s="10">
        <v>1456</v>
      </c>
      <c r="L710" s="9">
        <v>47498966</v>
      </c>
    </row>
    <row r="711" spans="1:12" ht="16.5" customHeight="1">
      <c r="A711" s="1"/>
      <c r="B711" s="196" t="s">
        <v>4</v>
      </c>
      <c r="C711" s="205" t="s">
        <v>146</v>
      </c>
      <c r="D711" s="8" t="s">
        <v>3</v>
      </c>
      <c r="E711" s="7">
        <v>7</v>
      </c>
      <c r="F711" s="15" t="s">
        <v>1</v>
      </c>
      <c r="G711" s="197">
        <f>$E711</f>
        <v>7</v>
      </c>
      <c r="H711" s="14">
        <v>47498973</v>
      </c>
      <c r="I711" s="14" t="s">
        <v>0</v>
      </c>
      <c r="J711" s="14" t="s">
        <v>0</v>
      </c>
      <c r="K711" s="197">
        <f>$E711</f>
        <v>7</v>
      </c>
      <c r="L711" s="14">
        <v>47498973</v>
      </c>
    </row>
    <row r="712" spans="1:12" ht="16.5" customHeight="1">
      <c r="A712" s="1"/>
      <c r="B712" s="1" t="s">
        <v>11</v>
      </c>
      <c r="C712" s="206" t="s">
        <v>146</v>
      </c>
      <c r="D712" s="6" t="s">
        <v>3</v>
      </c>
      <c r="E712" s="5">
        <v>7</v>
      </c>
      <c r="F712" s="12" t="s">
        <v>1</v>
      </c>
      <c r="G712" s="13">
        <v>1100</v>
      </c>
      <c r="H712" s="9">
        <v>47498973</v>
      </c>
      <c r="I712" s="9" t="s">
        <v>0</v>
      </c>
      <c r="J712" s="9" t="s">
        <v>0</v>
      </c>
      <c r="K712" s="13">
        <v>960</v>
      </c>
      <c r="L712" s="9">
        <v>47498973</v>
      </c>
    </row>
    <row r="713" spans="1:12" ht="16.5" customHeight="1">
      <c r="A713" s="1"/>
      <c r="B713" s="1" t="s">
        <v>10</v>
      </c>
      <c r="C713" s="206" t="s">
        <v>146</v>
      </c>
      <c r="D713" s="6" t="s">
        <v>3</v>
      </c>
      <c r="E713" s="5">
        <v>7</v>
      </c>
      <c r="F713" s="12" t="s">
        <v>1</v>
      </c>
      <c r="G713" s="13">
        <v>3500</v>
      </c>
      <c r="H713" s="9">
        <v>47498973</v>
      </c>
      <c r="I713" s="13" t="s">
        <v>0</v>
      </c>
      <c r="J713" s="9" t="s">
        <v>0</v>
      </c>
      <c r="K713" s="13">
        <v>3500</v>
      </c>
      <c r="L713" s="9">
        <v>47498973</v>
      </c>
    </row>
    <row r="714" spans="1:12" ht="16.5" customHeight="1">
      <c r="A714" s="1"/>
      <c r="B714" s="1" t="s">
        <v>9</v>
      </c>
      <c r="C714" s="206" t="s">
        <v>146</v>
      </c>
      <c r="D714" s="6" t="s">
        <v>3</v>
      </c>
      <c r="E714" s="5">
        <v>7</v>
      </c>
      <c r="F714" s="12" t="s">
        <v>1</v>
      </c>
      <c r="G714" s="13">
        <v>3590</v>
      </c>
      <c r="H714" s="9">
        <v>47498973</v>
      </c>
      <c r="I714" s="13" t="s">
        <v>0</v>
      </c>
      <c r="J714" s="9" t="s">
        <v>0</v>
      </c>
      <c r="K714" s="13">
        <v>3590</v>
      </c>
      <c r="L714" s="9">
        <v>47498973</v>
      </c>
    </row>
    <row r="715" spans="1:12" ht="16.5" customHeight="1">
      <c r="A715" s="1"/>
      <c r="B715" s="1" t="s">
        <v>8</v>
      </c>
      <c r="C715" s="206" t="s">
        <v>146</v>
      </c>
      <c r="D715" s="6" t="s">
        <v>3</v>
      </c>
      <c r="E715" s="5">
        <v>7</v>
      </c>
      <c r="F715" s="12" t="s">
        <v>1</v>
      </c>
      <c r="G715" s="13">
        <v>2949</v>
      </c>
      <c r="H715" s="9">
        <v>47498973</v>
      </c>
      <c r="I715" s="9" t="s">
        <v>0</v>
      </c>
      <c r="J715" s="9" t="s">
        <v>0</v>
      </c>
      <c r="K715" s="13">
        <v>3367</v>
      </c>
      <c r="L715" s="9">
        <v>47498973</v>
      </c>
    </row>
    <row r="716" spans="1:12" ht="16.5" customHeight="1">
      <c r="A716" s="1"/>
      <c r="B716" s="23" t="s">
        <v>7</v>
      </c>
      <c r="C716" s="207" t="s">
        <v>146</v>
      </c>
      <c r="D716" s="4" t="s">
        <v>3</v>
      </c>
      <c r="E716" s="3">
        <v>7</v>
      </c>
      <c r="F716" s="12" t="s">
        <v>1</v>
      </c>
      <c r="G716" s="10">
        <v>1385</v>
      </c>
      <c r="H716" s="9">
        <v>47498973</v>
      </c>
      <c r="I716" s="11" t="s">
        <v>0</v>
      </c>
      <c r="J716" s="9" t="s">
        <v>0</v>
      </c>
      <c r="K716" s="10">
        <v>1428</v>
      </c>
      <c r="L716" s="9">
        <v>47498973</v>
      </c>
    </row>
    <row r="717" spans="1:12" ht="16.5" customHeight="1">
      <c r="A717" s="1"/>
      <c r="B717" s="196" t="s">
        <v>4</v>
      </c>
      <c r="C717" s="205" t="s">
        <v>146</v>
      </c>
      <c r="D717" s="8" t="s">
        <v>3</v>
      </c>
      <c r="E717" s="7">
        <v>8.1999999999999993</v>
      </c>
      <c r="F717" s="15" t="s">
        <v>1</v>
      </c>
      <c r="G717" s="197">
        <f>$E717</f>
        <v>8.1999999999999993</v>
      </c>
      <c r="H717" s="14">
        <v>47498974</v>
      </c>
      <c r="I717" s="14" t="s">
        <v>0</v>
      </c>
      <c r="J717" s="14" t="s">
        <v>0</v>
      </c>
      <c r="K717" s="197">
        <f>$E717</f>
        <v>8.1999999999999993</v>
      </c>
      <c r="L717" s="14">
        <v>47498974</v>
      </c>
    </row>
    <row r="718" spans="1:12" ht="16.5" customHeight="1">
      <c r="A718" s="1"/>
      <c r="B718" s="1" t="s">
        <v>11</v>
      </c>
      <c r="C718" s="206" t="s">
        <v>146</v>
      </c>
      <c r="D718" s="6" t="s">
        <v>3</v>
      </c>
      <c r="E718" s="5">
        <v>8.1999999999999993</v>
      </c>
      <c r="F718" s="12" t="s">
        <v>1</v>
      </c>
      <c r="G718" s="13">
        <v>890</v>
      </c>
      <c r="H718" s="9">
        <v>47498974</v>
      </c>
      <c r="I718" s="9" t="s">
        <v>0</v>
      </c>
      <c r="J718" s="9" t="s">
        <v>0</v>
      </c>
      <c r="K718" s="13">
        <v>760</v>
      </c>
      <c r="L718" s="9">
        <v>47498974</v>
      </c>
    </row>
    <row r="719" spans="1:12" ht="16.5" customHeight="1">
      <c r="A719" s="1"/>
      <c r="B719" s="1" t="s">
        <v>10</v>
      </c>
      <c r="C719" s="206" t="s">
        <v>146</v>
      </c>
      <c r="D719" s="6" t="s">
        <v>3</v>
      </c>
      <c r="E719" s="5">
        <v>8.1999999999999993</v>
      </c>
      <c r="F719" s="12" t="s">
        <v>1</v>
      </c>
      <c r="G719" s="13">
        <v>4000</v>
      </c>
      <c r="H719" s="9">
        <v>47498974</v>
      </c>
      <c r="I719" s="13" t="s">
        <v>0</v>
      </c>
      <c r="J719" s="9" t="s">
        <v>0</v>
      </c>
      <c r="K719" s="13">
        <v>4000</v>
      </c>
      <c r="L719" s="9">
        <v>47498974</v>
      </c>
    </row>
    <row r="720" spans="1:12" ht="16.5" customHeight="1">
      <c r="A720" s="1"/>
      <c r="B720" s="1" t="s">
        <v>9</v>
      </c>
      <c r="C720" s="206" t="s">
        <v>146</v>
      </c>
      <c r="D720" s="6" t="s">
        <v>3</v>
      </c>
      <c r="E720" s="5">
        <v>8.1999999999999993</v>
      </c>
      <c r="F720" s="12" t="s">
        <v>1</v>
      </c>
      <c r="G720" s="13">
        <v>4000</v>
      </c>
      <c r="H720" s="9">
        <v>47498974</v>
      </c>
      <c r="I720" s="13" t="s">
        <v>0</v>
      </c>
      <c r="J720" s="9" t="s">
        <v>0</v>
      </c>
      <c r="K720" s="13">
        <v>4000</v>
      </c>
      <c r="L720" s="9">
        <v>47498974</v>
      </c>
    </row>
    <row r="721" spans="1:12" ht="16.5" customHeight="1">
      <c r="A721" s="1"/>
      <c r="B721" s="1" t="s">
        <v>8</v>
      </c>
      <c r="C721" s="206" t="s">
        <v>146</v>
      </c>
      <c r="D721" s="6" t="s">
        <v>3</v>
      </c>
      <c r="E721" s="5">
        <v>8.1999999999999993</v>
      </c>
      <c r="F721" s="12" t="s">
        <v>1</v>
      </c>
      <c r="G721" s="13">
        <v>2948</v>
      </c>
      <c r="H721" s="9">
        <v>47498974</v>
      </c>
      <c r="I721" s="9" t="s">
        <v>0</v>
      </c>
      <c r="J721" s="9" t="s">
        <v>0</v>
      </c>
      <c r="K721" s="13">
        <v>3366</v>
      </c>
      <c r="L721" s="9">
        <v>47498974</v>
      </c>
    </row>
    <row r="722" spans="1:12" ht="16.5" customHeight="1">
      <c r="A722" s="1"/>
      <c r="B722" s="23" t="s">
        <v>7</v>
      </c>
      <c r="C722" s="207" t="s">
        <v>146</v>
      </c>
      <c r="D722" s="4" t="s">
        <v>3</v>
      </c>
      <c r="E722" s="3">
        <v>8.1999999999999993</v>
      </c>
      <c r="F722" s="12" t="s">
        <v>1</v>
      </c>
      <c r="G722" s="10">
        <v>1385</v>
      </c>
      <c r="H722" s="9">
        <v>47498974</v>
      </c>
      <c r="I722" s="11" t="s">
        <v>0</v>
      </c>
      <c r="J722" s="9" t="s">
        <v>0</v>
      </c>
      <c r="K722" s="10">
        <v>1428</v>
      </c>
      <c r="L722" s="9">
        <v>47498974</v>
      </c>
    </row>
    <row r="723" spans="1:12" ht="16.5" customHeight="1">
      <c r="A723" s="1"/>
      <c r="B723" s="196" t="s">
        <v>4</v>
      </c>
      <c r="C723" s="205" t="s">
        <v>146</v>
      </c>
      <c r="D723" s="8" t="s">
        <v>3</v>
      </c>
      <c r="E723" s="7">
        <v>9.5</v>
      </c>
      <c r="F723" s="15" t="s">
        <v>1</v>
      </c>
      <c r="G723" s="197">
        <f>$E723</f>
        <v>9.5</v>
      </c>
      <c r="H723" s="14">
        <v>47498975</v>
      </c>
      <c r="I723" s="14" t="s">
        <v>0</v>
      </c>
      <c r="J723" s="14" t="s">
        <v>0</v>
      </c>
      <c r="K723" s="197">
        <f>$E723</f>
        <v>9.5</v>
      </c>
      <c r="L723" s="14">
        <v>47498975</v>
      </c>
    </row>
    <row r="724" spans="1:12" ht="16.5" customHeight="1">
      <c r="A724" s="1"/>
      <c r="B724" s="1" t="s">
        <v>11</v>
      </c>
      <c r="C724" s="206" t="s">
        <v>146</v>
      </c>
      <c r="D724" s="6" t="s">
        <v>3</v>
      </c>
      <c r="E724" s="5">
        <v>9.5</v>
      </c>
      <c r="F724" s="12" t="s">
        <v>1</v>
      </c>
      <c r="G724" s="13">
        <v>735</v>
      </c>
      <c r="H724" s="9">
        <v>47498975</v>
      </c>
      <c r="I724" s="9" t="s">
        <v>0</v>
      </c>
      <c r="J724" s="9" t="s">
        <v>0</v>
      </c>
      <c r="K724" s="13">
        <v>625</v>
      </c>
      <c r="L724" s="9">
        <v>47498975</v>
      </c>
    </row>
    <row r="725" spans="1:12" ht="16.5" customHeight="1">
      <c r="A725" s="1"/>
      <c r="B725" s="1" t="s">
        <v>10</v>
      </c>
      <c r="C725" s="206" t="s">
        <v>146</v>
      </c>
      <c r="D725" s="6" t="s">
        <v>3</v>
      </c>
      <c r="E725" s="5">
        <v>9.5</v>
      </c>
      <c r="F725" s="12" t="s">
        <v>1</v>
      </c>
      <c r="G725" s="13">
        <v>4500</v>
      </c>
      <c r="H725" s="9">
        <v>47498975</v>
      </c>
      <c r="I725" s="13" t="s">
        <v>0</v>
      </c>
      <c r="J725" s="9" t="s">
        <v>0</v>
      </c>
      <c r="K725" s="13">
        <v>4500</v>
      </c>
      <c r="L725" s="9">
        <v>47498975</v>
      </c>
    </row>
    <row r="726" spans="1:12" ht="16.5" customHeight="1">
      <c r="A726" s="1"/>
      <c r="B726" s="1" t="s">
        <v>9</v>
      </c>
      <c r="C726" s="206" t="s">
        <v>146</v>
      </c>
      <c r="D726" s="6" t="s">
        <v>3</v>
      </c>
      <c r="E726" s="5">
        <v>9.5</v>
      </c>
      <c r="F726" s="12" t="s">
        <v>1</v>
      </c>
      <c r="G726" s="13">
        <v>4300</v>
      </c>
      <c r="H726" s="9">
        <v>47498975</v>
      </c>
      <c r="I726" s="13" t="s">
        <v>0</v>
      </c>
      <c r="J726" s="9" t="s">
        <v>0</v>
      </c>
      <c r="K726" s="13">
        <v>4300</v>
      </c>
      <c r="L726" s="9">
        <v>47498975</v>
      </c>
    </row>
    <row r="727" spans="1:12" ht="16.5" customHeight="1">
      <c r="A727" s="1"/>
      <c r="B727" s="1" t="s">
        <v>8</v>
      </c>
      <c r="C727" s="206" t="s">
        <v>146</v>
      </c>
      <c r="D727" s="6" t="s">
        <v>3</v>
      </c>
      <c r="E727" s="5">
        <v>9.5</v>
      </c>
      <c r="F727" s="12" t="s">
        <v>1</v>
      </c>
      <c r="G727" s="13">
        <v>2948</v>
      </c>
      <c r="H727" s="9">
        <v>47498975</v>
      </c>
      <c r="I727" s="9" t="s">
        <v>0</v>
      </c>
      <c r="J727" s="9" t="s">
        <v>0</v>
      </c>
      <c r="K727" s="13">
        <v>3365</v>
      </c>
      <c r="L727" s="9">
        <v>47498975</v>
      </c>
    </row>
    <row r="728" spans="1:12" ht="16.5" customHeight="1">
      <c r="A728" s="1"/>
      <c r="B728" s="23" t="s">
        <v>7</v>
      </c>
      <c r="C728" s="207" t="s">
        <v>146</v>
      </c>
      <c r="D728" s="4" t="s">
        <v>3</v>
      </c>
      <c r="E728" s="3">
        <v>9.5</v>
      </c>
      <c r="F728" s="12" t="s">
        <v>1</v>
      </c>
      <c r="G728" s="10">
        <v>1385</v>
      </c>
      <c r="H728" s="9">
        <v>47498975</v>
      </c>
      <c r="I728" s="11" t="s">
        <v>0</v>
      </c>
      <c r="J728" s="9" t="s">
        <v>0</v>
      </c>
      <c r="K728" s="10">
        <v>1428</v>
      </c>
      <c r="L728" s="9">
        <v>47498975</v>
      </c>
    </row>
    <row r="729" spans="1:12" ht="16.5" customHeight="1">
      <c r="A729" s="1"/>
      <c r="B729" s="1" t="s">
        <v>4</v>
      </c>
      <c r="C729" s="205" t="s">
        <v>147</v>
      </c>
      <c r="D729" s="25" t="s">
        <v>3</v>
      </c>
      <c r="E729" s="201" t="s">
        <v>6</v>
      </c>
      <c r="F729" s="2" t="s">
        <v>1</v>
      </c>
      <c r="G729" s="197" t="str">
        <f>$E729</f>
        <v>1,8 mc</v>
      </c>
      <c r="H729" s="198">
        <v>47498970</v>
      </c>
      <c r="I729" s="197" t="s">
        <v>0</v>
      </c>
      <c r="J729" s="198" t="s">
        <v>0</v>
      </c>
      <c r="K729" s="197" t="str">
        <f>$E729</f>
        <v>1,8 mc</v>
      </c>
      <c r="L729" s="198">
        <v>47498970</v>
      </c>
    </row>
    <row r="730" spans="1:12" ht="16.5" customHeight="1">
      <c r="A730" s="1"/>
      <c r="B730" s="1" t="s">
        <v>4</v>
      </c>
      <c r="C730" s="205" t="s">
        <v>147</v>
      </c>
      <c r="D730" s="25" t="s">
        <v>3</v>
      </c>
      <c r="E730" s="201" t="s">
        <v>5</v>
      </c>
      <c r="F730" s="2" t="s">
        <v>1</v>
      </c>
      <c r="G730" s="197" t="str">
        <f>$E730</f>
        <v>2,2 mc</v>
      </c>
      <c r="H730" s="198">
        <v>47498971</v>
      </c>
      <c r="I730" s="197" t="s">
        <v>0</v>
      </c>
      <c r="J730" s="198" t="s">
        <v>0</v>
      </c>
      <c r="K730" s="197" t="str">
        <f>$E730</f>
        <v>2,2 mc</v>
      </c>
      <c r="L730" s="198">
        <v>47498971</v>
      </c>
    </row>
    <row r="731" spans="1:12" ht="16.5" customHeight="1">
      <c r="A731" s="1"/>
      <c r="B731" s="1" t="s">
        <v>4</v>
      </c>
      <c r="C731" s="208" t="s">
        <v>147</v>
      </c>
      <c r="D731" s="25" t="s">
        <v>3</v>
      </c>
      <c r="E731" s="201" t="s">
        <v>2</v>
      </c>
      <c r="F731" s="2" t="s">
        <v>1</v>
      </c>
      <c r="G731" s="197" t="str">
        <f>$E731</f>
        <v>3,1 mc</v>
      </c>
      <c r="H731" s="198">
        <v>47498972</v>
      </c>
      <c r="I731" s="197" t="s">
        <v>0</v>
      </c>
      <c r="J731" s="198" t="s">
        <v>0</v>
      </c>
      <c r="K731" s="197" t="str">
        <f>$E731</f>
        <v>3,1 mc</v>
      </c>
      <c r="L731" s="198">
        <v>47498972</v>
      </c>
    </row>
  </sheetData>
  <autoFilter ref="A1:L731" xr:uid="{00000000-0009-0000-0000-000000000000}"/>
  <pageMargins left="0.43307086614173229" right="0.39370078740157483" top="0.51181102362204722" bottom="0.51181102362204722" header="0.31496062992125984" footer="0.31496062992125984"/>
  <pageSetup paperSize="9" scale="52" fitToHeight="0" orientation="landscape" r:id="rId1"/>
  <headerFooter>
    <oddHeader>&amp;L&amp;"Calibri"&amp;10&amp;K000000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75"/>
  <sheetViews>
    <sheetView showGridLines="0" zoomScale="70" zoomScaleNormal="70" workbookViewId="0">
      <pane xSplit="16" ySplit="1" topLeftCell="Q14" activePane="bottomRight" state="frozen"/>
      <selection pane="topRight" activeCell="Q1" sqref="Q1"/>
      <selection pane="bottomLeft" activeCell="A2" sqref="A2"/>
      <selection pane="bottomRight" activeCell="M44" sqref="M44"/>
    </sheetView>
  </sheetViews>
  <sheetFormatPr defaultColWidth="9.109375" defaultRowHeight="13.2"/>
  <cols>
    <col min="1" max="1" width="24.21875" style="287" customWidth="1"/>
    <col min="2" max="2" width="1.6640625" style="284" customWidth="1"/>
    <col min="3" max="3" width="7.6640625" style="284" hidden="1" customWidth="1"/>
    <col min="4" max="4" width="11.6640625" style="284" hidden="1" customWidth="1"/>
    <col min="5" max="5" width="26.88671875" style="284" customWidth="1"/>
    <col min="6" max="6" width="22.109375" style="284" customWidth="1"/>
    <col min="7" max="7" width="22.109375" style="285" customWidth="1"/>
    <col min="8" max="8" width="13" style="285" customWidth="1"/>
    <col min="9" max="9" width="13" style="284" customWidth="1"/>
    <col min="10" max="10" width="11.6640625" style="284" customWidth="1"/>
    <col min="11" max="11" width="9.21875" style="284" customWidth="1"/>
    <col min="12" max="12" width="5" style="284" customWidth="1"/>
    <col min="13" max="13" width="20.88671875" style="284" customWidth="1"/>
    <col min="14" max="15" width="10.21875" style="284" customWidth="1"/>
    <col min="16" max="16" width="59.88671875" style="284" customWidth="1"/>
    <col min="17" max="17" width="65.88671875" style="426" customWidth="1"/>
    <col min="18" max="20" width="50.5546875" style="426" customWidth="1" collapsed="1"/>
    <col min="21" max="16384" width="9.109375" style="287"/>
  </cols>
  <sheetData>
    <row r="1" spans="2:20" ht="24" customHeight="1" thickTop="1" thickBot="1">
      <c r="Q1" s="286" t="s">
        <v>211</v>
      </c>
      <c r="R1" s="286" t="s">
        <v>208</v>
      </c>
      <c r="S1" s="286" t="s">
        <v>210</v>
      </c>
      <c r="T1" s="286" t="s">
        <v>209</v>
      </c>
    </row>
    <row r="2" spans="2:20" s="292" customFormat="1" ht="25.5" customHeight="1" thickTop="1" thickBot="1">
      <c r="B2" s="288"/>
      <c r="C2" s="289"/>
      <c r="D2" s="289"/>
      <c r="E2" s="290" t="s">
        <v>410</v>
      </c>
      <c r="F2" s="289"/>
      <c r="G2" s="289"/>
      <c r="H2" s="289"/>
      <c r="I2" s="289"/>
      <c r="J2" s="289"/>
      <c r="K2" s="289"/>
      <c r="L2" s="289"/>
      <c r="M2" s="291"/>
      <c r="N2" s="291"/>
      <c r="O2" s="291"/>
      <c r="P2" s="291"/>
      <c r="Q2" s="265" t="s">
        <v>489</v>
      </c>
      <c r="R2" s="246" t="s">
        <v>409</v>
      </c>
      <c r="S2" s="246" t="s">
        <v>411</v>
      </c>
      <c r="T2" s="246" t="s">
        <v>217</v>
      </c>
    </row>
    <row r="3" spans="2:20" ht="44.25" customHeight="1">
      <c r="B3" s="293"/>
      <c r="C3" s="294"/>
      <c r="D3" s="294"/>
      <c r="E3" s="444" t="s">
        <v>186</v>
      </c>
      <c r="F3" s="444"/>
      <c r="G3" s="444"/>
      <c r="H3" s="444"/>
      <c r="I3" s="444"/>
      <c r="J3" s="444"/>
      <c r="K3" s="444"/>
      <c r="L3" s="444"/>
      <c r="Q3" s="266" t="s">
        <v>490</v>
      </c>
      <c r="R3" s="247" t="s">
        <v>187</v>
      </c>
      <c r="S3" s="247" t="s">
        <v>412</v>
      </c>
      <c r="T3" s="247" t="s">
        <v>218</v>
      </c>
    </row>
    <row r="4" spans="2:20" ht="15.6" thickBot="1">
      <c r="B4" s="295"/>
      <c r="C4" s="296"/>
      <c r="D4" s="296"/>
      <c r="E4" s="296"/>
      <c r="F4" s="297"/>
      <c r="G4" s="297"/>
      <c r="H4" s="298"/>
      <c r="I4" s="297"/>
      <c r="J4" s="299"/>
      <c r="K4" s="299"/>
      <c r="L4" s="299"/>
      <c r="Q4" s="261"/>
      <c r="R4" s="248"/>
      <c r="S4" s="248"/>
      <c r="T4" s="248"/>
    </row>
    <row r="5" spans="2:20" ht="16.2" thickBot="1">
      <c r="B5" s="300"/>
      <c r="C5" s="301" t="s">
        <v>32</v>
      </c>
      <c r="D5" s="302"/>
      <c r="E5" s="438" t="s">
        <v>137</v>
      </c>
      <c r="F5" s="432"/>
      <c r="G5" s="433"/>
      <c r="H5" s="434"/>
      <c r="I5" s="303"/>
      <c r="J5" s="299"/>
      <c r="K5" s="299"/>
      <c r="L5" s="299"/>
      <c r="Q5" s="280" t="s">
        <v>491</v>
      </c>
      <c r="R5" s="281" t="s">
        <v>171</v>
      </c>
      <c r="S5" s="281" t="s">
        <v>413</v>
      </c>
      <c r="T5" s="281" t="s">
        <v>219</v>
      </c>
    </row>
    <row r="6" spans="2:20" ht="15">
      <c r="B6" s="300"/>
      <c r="C6" s="304" t="s">
        <v>34</v>
      </c>
      <c r="D6" s="305"/>
      <c r="E6" s="306" t="s">
        <v>575</v>
      </c>
      <c r="F6" s="307"/>
      <c r="G6" s="308">
        <v>4.2</v>
      </c>
      <c r="H6" s="309" t="s">
        <v>35</v>
      </c>
      <c r="I6" s="440" t="s">
        <v>564</v>
      </c>
      <c r="J6" s="441" t="s">
        <v>576</v>
      </c>
      <c r="K6" s="442"/>
      <c r="L6" s="299"/>
      <c r="Q6" s="261" t="s">
        <v>492</v>
      </c>
      <c r="R6" s="248" t="s">
        <v>173</v>
      </c>
      <c r="S6" s="248" t="s">
        <v>414</v>
      </c>
      <c r="T6" s="248" t="s">
        <v>220</v>
      </c>
    </row>
    <row r="7" spans="2:20" ht="15">
      <c r="B7" s="300"/>
      <c r="C7" s="310"/>
      <c r="D7" s="297"/>
      <c r="E7" s="311" t="s">
        <v>562</v>
      </c>
      <c r="F7" s="312"/>
      <c r="G7" s="313"/>
      <c r="H7" s="314"/>
      <c r="I7" s="440" t="s">
        <v>564</v>
      </c>
      <c r="J7" s="454" t="s">
        <v>563</v>
      </c>
      <c r="K7" s="454"/>
      <c r="L7" s="454"/>
      <c r="M7" s="454"/>
      <c r="N7" s="454"/>
      <c r="O7" s="454"/>
      <c r="P7" s="454"/>
      <c r="Q7" s="261" t="s">
        <v>493</v>
      </c>
      <c r="R7" s="261" t="s">
        <v>415</v>
      </c>
      <c r="S7" s="261" t="s">
        <v>416</v>
      </c>
      <c r="T7" s="261" t="s">
        <v>523</v>
      </c>
    </row>
    <row r="8" spans="2:20" ht="15">
      <c r="B8" s="315"/>
      <c r="C8" s="310" t="s">
        <v>38</v>
      </c>
      <c r="D8" s="297"/>
      <c r="E8" s="316" t="s">
        <v>97</v>
      </c>
      <c r="F8" s="317"/>
      <c r="G8" s="318">
        <v>100</v>
      </c>
      <c r="H8" s="319" t="s">
        <v>39</v>
      </c>
      <c r="I8" s="440" t="s">
        <v>564</v>
      </c>
      <c r="J8" s="441" t="s">
        <v>565</v>
      </c>
      <c r="K8" s="442"/>
      <c r="L8" s="442"/>
      <c r="M8" s="443"/>
      <c r="N8" s="443"/>
      <c r="O8" s="443"/>
      <c r="P8" s="443"/>
      <c r="Q8" s="261" t="s">
        <v>494</v>
      </c>
      <c r="R8" s="248" t="s">
        <v>174</v>
      </c>
      <c r="S8" s="248" t="s">
        <v>417</v>
      </c>
      <c r="T8" s="248" t="s">
        <v>221</v>
      </c>
    </row>
    <row r="9" spans="2:20" ht="15">
      <c r="B9" s="315"/>
      <c r="C9" s="304" t="s">
        <v>41</v>
      </c>
      <c r="D9" s="305"/>
      <c r="E9" s="316" t="s">
        <v>181</v>
      </c>
      <c r="F9" s="317"/>
      <c r="G9" s="318">
        <v>1.8</v>
      </c>
      <c r="H9" s="319" t="s">
        <v>555</v>
      </c>
      <c r="I9" s="440" t="s">
        <v>564</v>
      </c>
      <c r="J9" s="441" t="s">
        <v>565</v>
      </c>
      <c r="K9" s="442"/>
      <c r="L9" s="442"/>
      <c r="M9" s="443"/>
      <c r="N9" s="443"/>
      <c r="O9" s="443"/>
      <c r="P9" s="443"/>
      <c r="Q9" s="261" t="s">
        <v>495</v>
      </c>
      <c r="R9" s="248" t="s">
        <v>263</v>
      </c>
      <c r="S9" s="248" t="s">
        <v>418</v>
      </c>
      <c r="T9" s="248" t="s">
        <v>222</v>
      </c>
    </row>
    <row r="10" spans="2:20" ht="15">
      <c r="B10" s="315"/>
      <c r="C10" s="310" t="s">
        <v>44</v>
      </c>
      <c r="D10" s="297"/>
      <c r="E10" s="320" t="s">
        <v>98</v>
      </c>
      <c r="F10" s="317"/>
      <c r="G10" s="318">
        <v>20</v>
      </c>
      <c r="H10" s="321" t="s">
        <v>53</v>
      </c>
      <c r="I10" s="440" t="s">
        <v>564</v>
      </c>
      <c r="J10" s="441" t="s">
        <v>566</v>
      </c>
      <c r="K10" s="442"/>
      <c r="L10" s="442"/>
      <c r="M10" s="443"/>
      <c r="N10" s="443"/>
      <c r="O10" s="443"/>
      <c r="P10" s="443"/>
      <c r="Q10" s="261" t="s">
        <v>520</v>
      </c>
      <c r="R10" s="248" t="s">
        <v>98</v>
      </c>
      <c r="S10" s="248" t="s">
        <v>419</v>
      </c>
      <c r="T10" s="248" t="s">
        <v>223</v>
      </c>
    </row>
    <row r="11" spans="2:20" ht="17.399999999999999">
      <c r="B11" s="315"/>
      <c r="C11" s="322" t="s">
        <v>47</v>
      </c>
      <c r="D11" s="297"/>
      <c r="E11" s="323" t="s">
        <v>135</v>
      </c>
      <c r="F11" s="317"/>
      <c r="G11" s="318">
        <v>0</v>
      </c>
      <c r="H11" s="321" t="s">
        <v>39</v>
      </c>
      <c r="I11" s="440" t="s">
        <v>564</v>
      </c>
      <c r="J11" s="441" t="s">
        <v>574</v>
      </c>
      <c r="K11" s="442"/>
      <c r="L11" s="442"/>
      <c r="M11" s="443"/>
      <c r="N11" s="443"/>
      <c r="O11" s="443"/>
      <c r="P11" s="443"/>
      <c r="Q11" s="261" t="s">
        <v>496</v>
      </c>
      <c r="R11" s="248" t="s">
        <v>175</v>
      </c>
      <c r="S11" s="248" t="s">
        <v>420</v>
      </c>
      <c r="T11" s="248" t="s">
        <v>224</v>
      </c>
    </row>
    <row r="12" spans="2:20" ht="15">
      <c r="B12" s="315"/>
      <c r="C12" s="324" t="s">
        <v>49</v>
      </c>
      <c r="D12" s="325"/>
      <c r="E12" s="323" t="s">
        <v>170</v>
      </c>
      <c r="F12" s="317"/>
      <c r="G12" s="326">
        <v>0.2</v>
      </c>
      <c r="H12" s="319"/>
      <c r="I12" s="440" t="s">
        <v>564</v>
      </c>
      <c r="J12" s="441" t="s">
        <v>568</v>
      </c>
      <c r="K12" s="442"/>
      <c r="L12" s="442"/>
      <c r="M12" s="443"/>
      <c r="N12" s="443"/>
      <c r="O12" s="443"/>
      <c r="P12" s="443"/>
      <c r="Q12" s="261" t="s">
        <v>497</v>
      </c>
      <c r="R12" s="248" t="s">
        <v>176</v>
      </c>
      <c r="S12" s="248" t="s">
        <v>421</v>
      </c>
      <c r="T12" s="248" t="s">
        <v>225</v>
      </c>
    </row>
    <row r="13" spans="2:20" ht="15">
      <c r="B13" s="315"/>
      <c r="C13" s="327" t="s">
        <v>52</v>
      </c>
      <c r="D13" s="328"/>
      <c r="E13" s="323" t="s">
        <v>169</v>
      </c>
      <c r="F13" s="317"/>
      <c r="G13" s="318">
        <v>1</v>
      </c>
      <c r="H13" s="319"/>
      <c r="I13" s="440" t="s">
        <v>564</v>
      </c>
      <c r="J13" s="441" t="s">
        <v>569</v>
      </c>
      <c r="K13" s="442"/>
      <c r="L13" s="442"/>
      <c r="M13" s="443"/>
      <c r="N13" s="443"/>
      <c r="O13" s="443"/>
      <c r="P13" s="443"/>
      <c r="Q13" s="261" t="s">
        <v>498</v>
      </c>
      <c r="R13" s="248" t="s">
        <v>177</v>
      </c>
      <c r="S13" s="248" t="s">
        <v>424</v>
      </c>
      <c r="T13" s="248" t="s">
        <v>226</v>
      </c>
    </row>
    <row r="14" spans="2:20" ht="15">
      <c r="B14" s="315"/>
      <c r="C14" s="310" t="s">
        <v>55</v>
      </c>
      <c r="D14" s="297"/>
      <c r="E14" s="329" t="s">
        <v>179</v>
      </c>
      <c r="F14" s="317"/>
      <c r="G14" s="330">
        <v>5</v>
      </c>
      <c r="H14" s="321" t="s">
        <v>133</v>
      </c>
      <c r="I14" s="440" t="s">
        <v>564</v>
      </c>
      <c r="J14" s="441" t="s">
        <v>572</v>
      </c>
      <c r="K14" s="442"/>
      <c r="L14" s="442"/>
      <c r="M14" s="443"/>
      <c r="N14" s="443"/>
      <c r="O14" s="443"/>
      <c r="P14" s="443"/>
      <c r="Q14" s="261" t="s">
        <v>499</v>
      </c>
      <c r="R14" s="248" t="s">
        <v>178</v>
      </c>
      <c r="S14" s="248" t="s">
        <v>446</v>
      </c>
      <c r="T14" s="248" t="s">
        <v>227</v>
      </c>
    </row>
    <row r="15" spans="2:20" ht="15">
      <c r="B15" s="315"/>
      <c r="C15" s="331" t="s">
        <v>59</v>
      </c>
      <c r="D15" s="297"/>
      <c r="E15" s="323" t="s">
        <v>127</v>
      </c>
      <c r="F15" s="317"/>
      <c r="G15" s="318">
        <v>60</v>
      </c>
      <c r="H15" s="319" t="s">
        <v>68</v>
      </c>
      <c r="I15" s="440" t="s">
        <v>564</v>
      </c>
      <c r="J15" s="441" t="s">
        <v>571</v>
      </c>
      <c r="K15" s="442"/>
      <c r="L15" s="442"/>
      <c r="M15" s="443"/>
      <c r="N15" s="443"/>
      <c r="O15" s="443"/>
      <c r="P15" s="443"/>
      <c r="Q15" s="261" t="s">
        <v>500</v>
      </c>
      <c r="R15" s="248" t="s">
        <v>182</v>
      </c>
      <c r="S15" s="248" t="s">
        <v>447</v>
      </c>
      <c r="T15" s="248" t="s">
        <v>228</v>
      </c>
    </row>
    <row r="16" spans="2:20" ht="15">
      <c r="B16" s="300"/>
      <c r="C16" s="332" t="s">
        <v>63</v>
      </c>
      <c r="D16" s="325"/>
      <c r="E16" s="323" t="s">
        <v>128</v>
      </c>
      <c r="F16" s="317"/>
      <c r="G16" s="318">
        <v>7</v>
      </c>
      <c r="H16" s="319" t="s">
        <v>125</v>
      </c>
      <c r="I16" s="440" t="s">
        <v>564</v>
      </c>
      <c r="J16" s="441" t="s">
        <v>570</v>
      </c>
      <c r="K16" s="442"/>
      <c r="L16" s="442"/>
      <c r="M16" s="443"/>
      <c r="N16" s="443"/>
      <c r="O16" s="443"/>
      <c r="P16" s="443"/>
      <c r="Q16" s="261" t="s">
        <v>501</v>
      </c>
      <c r="R16" s="248" t="s">
        <v>183</v>
      </c>
      <c r="S16" s="248" t="s">
        <v>448</v>
      </c>
      <c r="T16" s="248" t="s">
        <v>229</v>
      </c>
    </row>
    <row r="17" spans="2:20" ht="15.6" thickBot="1">
      <c r="B17" s="315"/>
      <c r="C17" s="327" t="s">
        <v>65</v>
      </c>
      <c r="D17" s="328"/>
      <c r="E17" s="333" t="s">
        <v>129</v>
      </c>
      <c r="F17" s="334"/>
      <c r="G17" s="335">
        <v>200</v>
      </c>
      <c r="H17" s="336" t="s">
        <v>126</v>
      </c>
      <c r="I17" s="440" t="s">
        <v>564</v>
      </c>
      <c r="J17" s="441" t="s">
        <v>573</v>
      </c>
      <c r="K17" s="442"/>
      <c r="L17" s="442"/>
      <c r="M17" s="443"/>
      <c r="N17" s="443"/>
      <c r="O17" s="443"/>
      <c r="P17" s="443"/>
      <c r="Q17" s="261" t="s">
        <v>502</v>
      </c>
      <c r="R17" s="248" t="s">
        <v>184</v>
      </c>
      <c r="S17" s="248" t="s">
        <v>449</v>
      </c>
      <c r="T17" s="248" t="s">
        <v>230</v>
      </c>
    </row>
    <row r="18" spans="2:20" ht="15.6" thickBot="1">
      <c r="B18" s="337"/>
      <c r="C18" s="338"/>
      <c r="D18" s="338"/>
      <c r="E18" s="338"/>
      <c r="F18" s="338"/>
      <c r="G18" s="339"/>
      <c r="H18" s="339"/>
      <c r="I18" s="338"/>
      <c r="J18" s="338"/>
      <c r="K18" s="338"/>
      <c r="L18" s="340"/>
      <c r="Q18" s="261"/>
      <c r="R18" s="248"/>
      <c r="S18" s="248"/>
      <c r="T18" s="248"/>
    </row>
    <row r="19" spans="2:20" s="292" customFormat="1" ht="22.5" customHeight="1" thickBot="1">
      <c r="B19" s="300"/>
      <c r="E19" s="439" t="s">
        <v>136</v>
      </c>
      <c r="F19" s="435"/>
      <c r="G19" s="435"/>
      <c r="H19" s="433"/>
      <c r="I19" s="436"/>
      <c r="J19" s="436"/>
      <c r="K19" s="437"/>
      <c r="L19" s="340"/>
      <c r="M19" s="302" t="s">
        <v>33</v>
      </c>
      <c r="N19" s="302"/>
      <c r="O19" s="302"/>
      <c r="P19" s="302"/>
      <c r="Q19" s="282" t="s">
        <v>503</v>
      </c>
      <c r="R19" s="283" t="s">
        <v>172</v>
      </c>
      <c r="S19" s="283" t="s">
        <v>442</v>
      </c>
      <c r="T19" s="283" t="s">
        <v>231</v>
      </c>
    </row>
    <row r="20" spans="2:20" ht="14.25" customHeight="1">
      <c r="B20" s="300"/>
      <c r="C20" s="287"/>
      <c r="D20" s="287"/>
      <c r="E20" s="341" t="s">
        <v>142</v>
      </c>
      <c r="F20" s="342"/>
      <c r="G20" s="343"/>
      <c r="H20" s="344">
        <f>(G15*$G6/(N24+(0.00625*($G10-10))))/N20/N22*N23</f>
        <v>534.78252308661672</v>
      </c>
      <c r="I20" s="345" t="s">
        <v>37</v>
      </c>
      <c r="J20" s="346">
        <f>H20*G16*G17</f>
        <v>748695.53232126345</v>
      </c>
      <c r="K20" s="345" t="s">
        <v>130</v>
      </c>
      <c r="L20" s="340"/>
      <c r="M20" s="297"/>
      <c r="N20" s="297">
        <f>1+(0.05*G11)</f>
        <v>1</v>
      </c>
      <c r="O20" s="297"/>
      <c r="P20" s="297"/>
      <c r="Q20" s="267" t="s">
        <v>504</v>
      </c>
      <c r="R20" s="249" t="s">
        <v>36</v>
      </c>
      <c r="S20" s="249" t="s">
        <v>443</v>
      </c>
      <c r="T20" s="249" t="s">
        <v>232</v>
      </c>
    </row>
    <row r="21" spans="2:20" ht="14.25" customHeight="1">
      <c r="B21" s="315"/>
      <c r="C21" s="287"/>
      <c r="D21" s="287"/>
      <c r="E21" s="347"/>
      <c r="F21" s="287"/>
      <c r="G21" s="348"/>
      <c r="H21" s="349">
        <f>H20*G9</f>
        <v>962.60854155591016</v>
      </c>
      <c r="I21" s="350" t="s">
        <v>40</v>
      </c>
      <c r="J21" s="351">
        <f>H21*G16*G17</f>
        <v>1347651.9581782743</v>
      </c>
      <c r="K21" s="350" t="s">
        <v>131</v>
      </c>
      <c r="L21" s="340"/>
      <c r="M21" s="297"/>
      <c r="N21" s="297"/>
      <c r="O21" s="297"/>
      <c r="P21" s="297"/>
      <c r="Q21" s="268"/>
      <c r="R21" s="250"/>
      <c r="S21" s="250"/>
      <c r="T21" s="250"/>
    </row>
    <row r="22" spans="2:20" ht="14.25" customHeight="1">
      <c r="B22" s="315"/>
      <c r="C22" s="287"/>
      <c r="D22" s="287"/>
      <c r="E22" s="352"/>
      <c r="F22" s="287"/>
      <c r="G22" s="348"/>
      <c r="H22" s="353"/>
      <c r="I22" s="350"/>
      <c r="J22" s="354"/>
      <c r="K22" s="350"/>
      <c r="L22" s="340"/>
      <c r="M22" s="297"/>
      <c r="N22" s="355">
        <f>1+(3.25*G12^3)</f>
        <v>1.026</v>
      </c>
      <c r="O22" s="297"/>
      <c r="P22" s="297"/>
      <c r="Q22" s="269"/>
      <c r="R22" s="251"/>
      <c r="S22" s="251"/>
      <c r="T22" s="251"/>
    </row>
    <row r="23" spans="2:20" ht="14.25" customHeight="1">
      <c r="B23" s="315"/>
      <c r="C23" s="287"/>
      <c r="D23" s="287"/>
      <c r="E23" s="356"/>
      <c r="F23" s="357"/>
      <c r="G23" s="358"/>
      <c r="H23" s="359"/>
      <c r="I23" s="360"/>
      <c r="J23" s="359"/>
      <c r="K23" s="360"/>
      <c r="L23" s="340"/>
      <c r="M23" s="297"/>
      <c r="N23" s="297">
        <f>IF((G10&lt;20),G8/100,0.97*G8/100)</f>
        <v>0.97</v>
      </c>
      <c r="O23" s="297"/>
      <c r="P23" s="297"/>
      <c r="Q23" s="270"/>
      <c r="R23" s="252" t="s">
        <v>45</v>
      </c>
      <c r="S23" s="252"/>
      <c r="T23" s="252"/>
    </row>
    <row r="24" spans="2:20" ht="14.25" customHeight="1">
      <c r="B24" s="315"/>
      <c r="C24" s="287"/>
      <c r="D24" s="287"/>
      <c r="E24" s="361" t="s">
        <v>533</v>
      </c>
      <c r="F24" s="430"/>
      <c r="G24" s="348"/>
      <c r="H24" s="362"/>
      <c r="I24" s="350"/>
      <c r="J24" s="363"/>
      <c r="K24" s="348"/>
      <c r="L24" s="340"/>
      <c r="M24" s="297"/>
      <c r="N24" s="297">
        <f>0.316333+(0.066667*G13)</f>
        <v>0.38300000000000001</v>
      </c>
      <c r="O24" s="297"/>
      <c r="P24" s="297"/>
      <c r="Q24" s="271" t="s">
        <v>532</v>
      </c>
      <c r="R24" s="253" t="s">
        <v>530</v>
      </c>
      <c r="S24" s="253" t="s">
        <v>531</v>
      </c>
      <c r="T24" s="253" t="s">
        <v>233</v>
      </c>
    </row>
    <row r="25" spans="2:20" ht="14.25" customHeight="1">
      <c r="B25" s="315"/>
      <c r="C25" s="287"/>
      <c r="D25" s="287"/>
      <c r="E25" s="364" t="s">
        <v>116</v>
      </c>
      <c r="F25" s="102">
        <f>G8</f>
        <v>100</v>
      </c>
      <c r="G25" s="348" t="s">
        <v>117</v>
      </c>
      <c r="H25" s="365">
        <f>G6*G9*G8/100</f>
        <v>7.56</v>
      </c>
      <c r="I25" s="350" t="s">
        <v>51</v>
      </c>
      <c r="J25" s="363"/>
      <c r="K25" s="348"/>
      <c r="L25" s="340"/>
      <c r="M25" s="297"/>
      <c r="N25" s="297">
        <f>(3.1+0.076*H25)*H26</f>
        <v>27.779673600000002</v>
      </c>
      <c r="O25" s="297"/>
      <c r="P25" s="297"/>
      <c r="Q25" s="272"/>
      <c r="R25" s="254" t="s">
        <v>50</v>
      </c>
      <c r="S25" s="254"/>
      <c r="T25" s="254" t="s">
        <v>234</v>
      </c>
    </row>
    <row r="26" spans="2:20" ht="14.25" customHeight="1">
      <c r="B26" s="315"/>
      <c r="C26" s="287"/>
      <c r="D26" s="287"/>
      <c r="E26" s="366" t="s">
        <v>116</v>
      </c>
      <c r="F26" s="367">
        <v>100</v>
      </c>
      <c r="G26" s="358" t="s">
        <v>117</v>
      </c>
      <c r="H26" s="427">
        <f>G6*G9</f>
        <v>7.5600000000000005</v>
      </c>
      <c r="I26" s="428" t="s">
        <v>51</v>
      </c>
      <c r="J26" s="368"/>
      <c r="K26" s="348"/>
      <c r="L26" s="340"/>
      <c r="M26" s="297" t="s">
        <v>54</v>
      </c>
      <c r="N26" s="369">
        <f>H21/H29</f>
        <v>40.539947570883463</v>
      </c>
      <c r="O26" s="297"/>
      <c r="P26" s="297"/>
      <c r="Q26" s="273"/>
      <c r="R26" s="255" t="s">
        <v>50</v>
      </c>
      <c r="S26" s="255"/>
      <c r="T26" s="255" t="s">
        <v>234</v>
      </c>
    </row>
    <row r="27" spans="2:20" ht="15.6">
      <c r="B27" s="315"/>
      <c r="C27" s="287"/>
      <c r="D27" s="287"/>
      <c r="E27" s="361" t="s">
        <v>144</v>
      </c>
      <c r="F27" s="287"/>
      <c r="G27" s="348"/>
      <c r="H27" s="370">
        <f>60/((H20*(60/G15))/G6/N23)*60</f>
        <v>27.424979999999994</v>
      </c>
      <c r="I27" s="350" t="s">
        <v>551</v>
      </c>
      <c r="J27" s="363"/>
      <c r="K27" s="348"/>
      <c r="L27" s="340"/>
      <c r="M27" s="297" t="s">
        <v>58</v>
      </c>
      <c r="N27" s="297"/>
      <c r="O27" s="297"/>
      <c r="P27" s="369"/>
      <c r="Q27" s="271" t="s">
        <v>505</v>
      </c>
      <c r="R27" s="253" t="s">
        <v>56</v>
      </c>
      <c r="S27" s="253" t="s">
        <v>444</v>
      </c>
      <c r="T27" s="253" t="s">
        <v>235</v>
      </c>
    </row>
    <row r="28" spans="2:20" ht="15" customHeight="1">
      <c r="B28" s="315"/>
      <c r="C28" s="287"/>
      <c r="D28" s="287"/>
      <c r="E28" s="371"/>
      <c r="F28" s="357"/>
      <c r="G28" s="358"/>
      <c r="H28" s="372">
        <f>H27*60</f>
        <v>1645.4987999999996</v>
      </c>
      <c r="I28" s="373" t="s">
        <v>60</v>
      </c>
      <c r="J28" s="363"/>
      <c r="K28" s="348"/>
      <c r="L28" s="340"/>
      <c r="M28" s="297" t="s">
        <v>61</v>
      </c>
      <c r="N28" s="369">
        <f>P$28+SQRT((G$10-10)/500)*((P$28*1.5+6)-P$28)</f>
        <v>30.59252129559475</v>
      </c>
      <c r="O28" s="297" t="s">
        <v>62</v>
      </c>
      <c r="P28" s="369">
        <f>(3.1+0.076*H25)*H26</f>
        <v>27.779673600000002</v>
      </c>
      <c r="Q28" s="274"/>
      <c r="R28" s="256"/>
      <c r="S28" s="256"/>
      <c r="T28" s="256"/>
    </row>
    <row r="29" spans="2:20" ht="13.05" customHeight="1">
      <c r="B29" s="300"/>
      <c r="C29" s="287"/>
      <c r="D29" s="287"/>
      <c r="E29" s="361" t="s">
        <v>560</v>
      </c>
      <c r="F29" s="287"/>
      <c r="G29" s="348"/>
      <c r="H29" s="429">
        <f>IF(G14=4,N28/60*G15*(1-(G12*0.1))*(1+(G11/200))*(1-N29),IF(G14=5,N28/60*G15*(1-(G12*0.1))*(1+(G11/200))*(1-N29)*(1-N30),"correct gear #"))</f>
        <v>23.744691328788825</v>
      </c>
      <c r="I29" s="374" t="s">
        <v>67</v>
      </c>
      <c r="J29" s="287"/>
      <c r="K29" s="348"/>
      <c r="L29" s="340"/>
      <c r="M29" s="297" t="s">
        <v>567</v>
      </c>
      <c r="N29" s="375">
        <v>0.1</v>
      </c>
      <c r="O29" s="376"/>
      <c r="P29" s="297"/>
      <c r="Q29" s="271" t="s">
        <v>506</v>
      </c>
      <c r="R29" s="253" t="s">
        <v>408</v>
      </c>
      <c r="S29" s="253" t="s">
        <v>445</v>
      </c>
      <c r="T29" s="253" t="s">
        <v>236</v>
      </c>
    </row>
    <row r="30" spans="2:20" ht="15.6" thickBot="1">
      <c r="B30" s="315"/>
      <c r="C30" s="287"/>
      <c r="D30" s="287"/>
      <c r="E30" s="377"/>
      <c r="F30" s="378"/>
      <c r="G30" s="379"/>
      <c r="H30" s="431">
        <f>1/N26*1000</f>
        <v>24.667027461037428</v>
      </c>
      <c r="I30" s="392" t="s">
        <v>561</v>
      </c>
      <c r="J30" s="380"/>
      <c r="K30" s="381"/>
      <c r="L30" s="340"/>
      <c r="M30" s="297" t="s">
        <v>134</v>
      </c>
      <c r="N30" s="375">
        <v>0.12</v>
      </c>
      <c r="O30" s="297"/>
      <c r="P30" s="297"/>
      <c r="Q30" s="275"/>
      <c r="R30" s="257"/>
      <c r="S30" s="257"/>
      <c r="T30" s="257"/>
    </row>
    <row r="31" spans="2:20" ht="15.6" thickBot="1">
      <c r="B31" s="337"/>
      <c r="C31" s="382"/>
      <c r="D31" s="382"/>
      <c r="E31" s="338"/>
      <c r="F31" s="338"/>
      <c r="G31" s="338"/>
      <c r="H31" s="338"/>
      <c r="I31" s="339"/>
      <c r="J31" s="339"/>
      <c r="K31" s="338"/>
      <c r="L31" s="383"/>
      <c r="M31" s="338"/>
      <c r="N31" s="338"/>
      <c r="O31" s="338"/>
      <c r="P31" s="338"/>
      <c r="Q31" s="261"/>
      <c r="R31" s="248"/>
      <c r="S31" s="248"/>
      <c r="T31" s="248"/>
    </row>
    <row r="32" spans="2:20" ht="15.6" thickBot="1">
      <c r="Q32" s="261"/>
      <c r="R32" s="248"/>
      <c r="S32" s="248"/>
      <c r="T32" s="248"/>
    </row>
    <row r="33" spans="3:20" ht="15.6" thickBot="1">
      <c r="C33" s="384" t="s">
        <v>69</v>
      </c>
      <c r="D33" s="385"/>
      <c r="E33" s="384" t="str">
        <f>E13</f>
        <v>Material Resistance</v>
      </c>
      <c r="F33" s="385"/>
      <c r="G33" s="385"/>
      <c r="H33" s="385"/>
      <c r="I33" s="385"/>
      <c r="J33" s="385"/>
      <c r="K33" s="385"/>
      <c r="L33" s="386"/>
      <c r="Q33" s="276" t="str">
        <f>Q13</f>
        <v>Resistencia a la penetración en el montón</v>
      </c>
      <c r="R33" s="258" t="str">
        <f>R13</f>
        <v>Résistance à la pénétration</v>
      </c>
      <c r="S33" s="258" t="str">
        <f>S13</f>
        <v>Resistenza del materiale</v>
      </c>
      <c r="T33" s="258" t="str">
        <f>T13</f>
        <v>Eindringwiderstand (Material)</v>
      </c>
    </row>
    <row r="34" spans="3:20" ht="15">
      <c r="C34" s="387" t="s">
        <v>70</v>
      </c>
      <c r="D34" s="388" t="s">
        <v>71</v>
      </c>
      <c r="E34" s="387" t="s">
        <v>100</v>
      </c>
      <c r="F34" s="388"/>
      <c r="G34" s="388"/>
      <c r="H34" s="388"/>
      <c r="I34" s="388"/>
      <c r="J34" s="388"/>
      <c r="K34" s="388"/>
      <c r="L34" s="389"/>
      <c r="Q34" s="261" t="s">
        <v>507</v>
      </c>
      <c r="R34" s="248" t="s">
        <v>422</v>
      </c>
      <c r="S34" s="248" t="s">
        <v>423</v>
      </c>
      <c r="T34" s="248" t="s">
        <v>237</v>
      </c>
    </row>
    <row r="35" spans="3:20" ht="15">
      <c r="C35" s="387" t="s">
        <v>72</v>
      </c>
      <c r="D35" s="388" t="s">
        <v>73</v>
      </c>
      <c r="E35" s="387" t="s">
        <v>425</v>
      </c>
      <c r="F35" s="388"/>
      <c r="G35" s="388"/>
      <c r="H35" s="388"/>
      <c r="I35" s="388"/>
      <c r="J35" s="388"/>
      <c r="K35" s="388"/>
      <c r="L35" s="389"/>
      <c r="Q35" s="261" t="s">
        <v>521</v>
      </c>
      <c r="R35" s="248" t="s">
        <v>212</v>
      </c>
      <c r="S35" s="248" t="s">
        <v>428</v>
      </c>
      <c r="T35" s="248" t="s">
        <v>238</v>
      </c>
    </row>
    <row r="36" spans="3:20" ht="15">
      <c r="C36" s="387" t="s">
        <v>74</v>
      </c>
      <c r="D36" s="388" t="s">
        <v>75</v>
      </c>
      <c r="E36" s="387" t="s">
        <v>426</v>
      </c>
      <c r="F36" s="388"/>
      <c r="G36" s="388"/>
      <c r="H36" s="388"/>
      <c r="I36" s="388"/>
      <c r="J36" s="388"/>
      <c r="K36" s="388"/>
      <c r="L36" s="389"/>
      <c r="Q36" s="261" t="s">
        <v>522</v>
      </c>
      <c r="R36" s="248" t="s">
        <v>213</v>
      </c>
      <c r="S36" s="248" t="s">
        <v>429</v>
      </c>
      <c r="T36" s="248" t="s">
        <v>427</v>
      </c>
    </row>
    <row r="37" spans="3:20" ht="15">
      <c r="C37" s="387" t="s">
        <v>76</v>
      </c>
      <c r="D37" s="388" t="s">
        <v>77</v>
      </c>
      <c r="E37" s="387" t="s">
        <v>103</v>
      </c>
      <c r="F37" s="388"/>
      <c r="G37" s="388"/>
      <c r="H37" s="388"/>
      <c r="I37" s="388"/>
      <c r="J37" s="388"/>
      <c r="K37" s="388"/>
      <c r="L37" s="389"/>
      <c r="Q37" s="261" t="s">
        <v>508</v>
      </c>
      <c r="R37" s="248" t="s">
        <v>214</v>
      </c>
      <c r="S37" s="248" t="s">
        <v>430</v>
      </c>
      <c r="T37" s="248" t="s">
        <v>239</v>
      </c>
    </row>
    <row r="38" spans="3:20" ht="15.6" thickBot="1">
      <c r="C38" s="390" t="s">
        <v>78</v>
      </c>
      <c r="D38" s="391" t="s">
        <v>79</v>
      </c>
      <c r="E38" s="390" t="s">
        <v>104</v>
      </c>
      <c r="F38" s="391"/>
      <c r="G38" s="391"/>
      <c r="H38" s="391"/>
      <c r="I38" s="391"/>
      <c r="J38" s="391"/>
      <c r="K38" s="391"/>
      <c r="L38" s="392"/>
      <c r="Q38" s="261" t="s">
        <v>509</v>
      </c>
      <c r="R38" s="248" t="s">
        <v>215</v>
      </c>
      <c r="S38" s="248" t="s">
        <v>431</v>
      </c>
      <c r="T38" s="248" t="s">
        <v>240</v>
      </c>
    </row>
    <row r="39" spans="3:20" ht="15.6" thickBot="1">
      <c r="C39" s="393"/>
      <c r="G39" s="284"/>
      <c r="H39" s="284"/>
      <c r="Q39" s="261"/>
      <c r="R39" s="248"/>
      <c r="S39" s="248"/>
      <c r="T39" s="248"/>
    </row>
    <row r="40" spans="3:20" ht="15.6" thickBot="1">
      <c r="C40" s="384" t="s">
        <v>80</v>
      </c>
      <c r="D40" s="385"/>
      <c r="E40" s="394" t="s">
        <v>260</v>
      </c>
      <c r="F40" s="385"/>
      <c r="G40" s="385"/>
      <c r="H40" s="385"/>
      <c r="I40" s="385"/>
      <c r="J40" s="385"/>
      <c r="K40" s="385"/>
      <c r="L40" s="386"/>
      <c r="Q40" s="276" t="str">
        <f>Q8</f>
        <v>Coeficiente de llenado</v>
      </c>
      <c r="R40" s="258" t="str">
        <f>R8</f>
        <v>Coeficient de remplissage</v>
      </c>
      <c r="S40" s="258" t="str">
        <f>S8</f>
        <v>Coeficiente di riempimento</v>
      </c>
      <c r="T40" s="258" t="str">
        <f t="shared" ref="T40" si="0">T8</f>
        <v>Füllgrad (Schaufel)</v>
      </c>
    </row>
    <row r="41" spans="3:20" ht="6.75" customHeight="1" thickBot="1">
      <c r="C41" s="395"/>
      <c r="E41" s="396"/>
      <c r="G41" s="284"/>
      <c r="H41" s="284"/>
      <c r="L41" s="397"/>
      <c r="Q41" s="261"/>
      <c r="R41" s="248"/>
      <c r="S41" s="248"/>
      <c r="T41" s="248"/>
    </row>
    <row r="42" spans="3:20" ht="15.6">
      <c r="C42" s="396"/>
      <c r="D42" s="387"/>
      <c r="E42" s="398" t="s">
        <v>113</v>
      </c>
      <c r="F42" s="399" t="s">
        <v>552</v>
      </c>
      <c r="G42" s="399" t="s">
        <v>259</v>
      </c>
      <c r="H42" s="284"/>
      <c r="L42" s="397"/>
      <c r="Q42" s="261"/>
      <c r="R42" s="248"/>
      <c r="S42" s="248"/>
      <c r="T42" s="248"/>
    </row>
    <row r="43" spans="3:20" ht="15.75" customHeight="1">
      <c r="C43" s="396"/>
      <c r="D43" s="400" t="s">
        <v>82</v>
      </c>
      <c r="E43" s="445" t="s">
        <v>432</v>
      </c>
      <c r="F43" s="446"/>
      <c r="G43" s="447"/>
      <c r="H43" s="284"/>
      <c r="L43" s="397"/>
      <c r="Q43" s="261"/>
      <c r="R43" s="248"/>
      <c r="S43" s="248"/>
      <c r="T43" s="248"/>
    </row>
    <row r="44" spans="3:20" ht="15.75" customHeight="1">
      <c r="C44" s="396"/>
      <c r="D44" s="400" t="s">
        <v>84</v>
      </c>
      <c r="E44" s="448"/>
      <c r="F44" s="449"/>
      <c r="G44" s="450"/>
      <c r="H44" s="284"/>
      <c r="L44" s="397"/>
      <c r="Q44" s="261"/>
      <c r="R44" s="248"/>
      <c r="S44" s="248"/>
      <c r="T44" s="248"/>
    </row>
    <row r="45" spans="3:20" ht="15.75" customHeight="1">
      <c r="C45" s="396"/>
      <c r="D45" s="400" t="s">
        <v>86</v>
      </c>
      <c r="E45" s="448"/>
      <c r="F45" s="449"/>
      <c r="G45" s="450"/>
      <c r="H45" s="284"/>
      <c r="L45" s="397"/>
      <c r="Q45" s="261"/>
      <c r="R45" s="248"/>
      <c r="S45" s="248"/>
      <c r="T45" s="248"/>
    </row>
    <row r="46" spans="3:20" ht="15.75" customHeight="1" thickBot="1">
      <c r="C46" s="396"/>
      <c r="D46" s="400" t="s">
        <v>88</v>
      </c>
      <c r="E46" s="451"/>
      <c r="F46" s="452"/>
      <c r="G46" s="453"/>
      <c r="H46" s="284"/>
      <c r="L46" s="397"/>
      <c r="Q46" s="261"/>
      <c r="R46" s="248"/>
      <c r="S46" s="248"/>
      <c r="T46" s="248"/>
    </row>
    <row r="47" spans="3:20" ht="15">
      <c r="C47" s="395"/>
      <c r="D47" s="401" t="s">
        <v>105</v>
      </c>
      <c r="E47" s="402"/>
      <c r="G47" s="284"/>
      <c r="H47" s="284"/>
      <c r="L47" s="397"/>
      <c r="Q47" s="261" t="s">
        <v>558</v>
      </c>
      <c r="R47" s="248" t="s">
        <v>559</v>
      </c>
      <c r="S47" s="248" t="s">
        <v>556</v>
      </c>
      <c r="T47" s="248" t="s">
        <v>557</v>
      </c>
    </row>
    <row r="48" spans="3:20" ht="12.75" customHeight="1" thickBot="1">
      <c r="C48" s="390"/>
      <c r="D48" s="403" t="s">
        <v>91</v>
      </c>
      <c r="E48" s="404"/>
      <c r="F48" s="391"/>
      <c r="G48" s="391"/>
      <c r="H48" s="391"/>
      <c r="I48" s="391"/>
      <c r="J48" s="391"/>
      <c r="K48" s="391"/>
      <c r="L48" s="392"/>
      <c r="Q48" s="261"/>
      <c r="R48" s="248"/>
      <c r="S48" s="248"/>
      <c r="T48" s="248"/>
    </row>
    <row r="49" spans="3:20" ht="15.6" thickBot="1">
      <c r="C49" s="405"/>
      <c r="G49" s="284"/>
      <c r="H49" s="284"/>
      <c r="Q49" s="261"/>
      <c r="R49" s="248"/>
      <c r="S49" s="248"/>
      <c r="T49" s="248"/>
    </row>
    <row r="50" spans="3:20" ht="15.6" thickBot="1">
      <c r="C50" s="384" t="s">
        <v>63</v>
      </c>
      <c r="D50" s="385"/>
      <c r="E50" s="394" t="str">
        <f>E12</f>
        <v>Ground Resistance</v>
      </c>
      <c r="F50" s="385"/>
      <c r="G50" s="385"/>
      <c r="H50" s="385"/>
      <c r="I50" s="385"/>
      <c r="J50" s="385"/>
      <c r="K50" s="385"/>
      <c r="L50" s="386"/>
      <c r="M50" s="285"/>
      <c r="N50" s="285"/>
      <c r="O50" s="285"/>
      <c r="P50" s="285"/>
      <c r="Q50" s="277" t="str">
        <f>Q12</f>
        <v>Resistencia de rodadura</v>
      </c>
      <c r="R50" s="259" t="str">
        <f>R12</f>
        <v>Résistance au roulement</v>
      </c>
      <c r="S50" s="259" t="str">
        <f>S12</f>
        <v>Resistenza del terreno</v>
      </c>
      <c r="T50" s="259" t="str">
        <f t="shared" ref="T50" si="1">T12</f>
        <v xml:space="preserve">Traktionskoeffizient </v>
      </c>
    </row>
    <row r="51" spans="3:20" ht="16.2" thickBot="1">
      <c r="C51" s="406"/>
      <c r="D51" s="407"/>
      <c r="E51" s="396"/>
      <c r="F51" s="408" t="s">
        <v>157</v>
      </c>
      <c r="G51" s="284"/>
      <c r="H51" s="284"/>
      <c r="I51" s="408"/>
      <c r="L51" s="397"/>
      <c r="M51" s="285"/>
      <c r="N51" s="285"/>
      <c r="O51" s="285"/>
      <c r="P51" s="285"/>
      <c r="Q51" s="278" t="s">
        <v>433</v>
      </c>
      <c r="R51" s="260" t="s">
        <v>216</v>
      </c>
      <c r="S51" s="260" t="s">
        <v>433</v>
      </c>
      <c r="T51" s="260" t="s">
        <v>241</v>
      </c>
    </row>
    <row r="52" spans="3:20" ht="15">
      <c r="C52" s="396"/>
      <c r="E52" s="409">
        <v>0</v>
      </c>
      <c r="F52" s="410" t="s">
        <v>189</v>
      </c>
      <c r="G52" s="410"/>
      <c r="H52" s="410"/>
      <c r="I52" s="410"/>
      <c r="J52" s="410"/>
      <c r="K52" s="410"/>
      <c r="L52" s="411"/>
      <c r="M52" s="285"/>
      <c r="N52" s="285"/>
      <c r="O52" s="285"/>
      <c r="P52" s="285"/>
      <c r="Q52" s="268" t="s">
        <v>510</v>
      </c>
      <c r="R52" s="250" t="s">
        <v>534</v>
      </c>
      <c r="S52" s="250" t="s">
        <v>545</v>
      </c>
      <c r="T52" s="250" t="s">
        <v>242</v>
      </c>
    </row>
    <row r="53" spans="3:20" ht="15">
      <c r="C53" s="396"/>
      <c r="E53" s="412">
        <v>0.2</v>
      </c>
      <c r="F53" s="284" t="s">
        <v>190</v>
      </c>
      <c r="G53" s="284"/>
      <c r="H53" s="284"/>
      <c r="L53" s="397"/>
      <c r="M53" s="285"/>
      <c r="N53" s="285"/>
      <c r="O53" s="285"/>
      <c r="P53" s="285"/>
      <c r="Q53" s="268" t="s">
        <v>540</v>
      </c>
      <c r="R53" s="250" t="s">
        <v>535</v>
      </c>
      <c r="S53" s="250" t="s">
        <v>546</v>
      </c>
      <c r="T53" s="250" t="s">
        <v>243</v>
      </c>
    </row>
    <row r="54" spans="3:20" ht="15">
      <c r="C54" s="413" t="s">
        <v>92</v>
      </c>
      <c r="D54" s="414"/>
      <c r="E54" s="412">
        <v>0.4</v>
      </c>
      <c r="F54" s="284" t="s">
        <v>191</v>
      </c>
      <c r="G54" s="284"/>
      <c r="H54" s="284"/>
      <c r="L54" s="397"/>
      <c r="M54" s="285"/>
      <c r="N54" s="285"/>
      <c r="O54" s="285"/>
      <c r="P54" s="285"/>
      <c r="Q54" s="268" t="s">
        <v>541</v>
      </c>
      <c r="R54" s="250" t="s">
        <v>536</v>
      </c>
      <c r="S54" s="250" t="s">
        <v>547</v>
      </c>
      <c r="T54" s="250" t="s">
        <v>244</v>
      </c>
    </row>
    <row r="55" spans="3:20" ht="15">
      <c r="C55" s="415"/>
      <c r="D55" s="416"/>
      <c r="E55" s="412">
        <v>0.6</v>
      </c>
      <c r="F55" s="284" t="s">
        <v>192</v>
      </c>
      <c r="G55" s="284"/>
      <c r="H55" s="284"/>
      <c r="L55" s="397"/>
      <c r="M55" s="285"/>
      <c r="N55" s="285"/>
      <c r="O55" s="285"/>
      <c r="P55" s="285"/>
      <c r="Q55" s="268" t="s">
        <v>543</v>
      </c>
      <c r="R55" s="250" t="s">
        <v>537</v>
      </c>
      <c r="S55" s="250" t="s">
        <v>548</v>
      </c>
      <c r="T55" s="250" t="s">
        <v>245</v>
      </c>
    </row>
    <row r="56" spans="3:20" ht="15">
      <c r="C56" s="417"/>
      <c r="D56" s="418"/>
      <c r="E56" s="412">
        <v>0.8</v>
      </c>
      <c r="F56" s="284" t="s">
        <v>193</v>
      </c>
      <c r="G56" s="284"/>
      <c r="H56" s="284"/>
      <c r="L56" s="397"/>
      <c r="M56" s="285"/>
      <c r="N56" s="285"/>
      <c r="O56" s="285"/>
      <c r="P56" s="285"/>
      <c r="Q56" s="268" t="s">
        <v>542</v>
      </c>
      <c r="R56" s="250" t="s">
        <v>538</v>
      </c>
      <c r="S56" s="250" t="s">
        <v>549</v>
      </c>
      <c r="T56" s="250" t="s">
        <v>246</v>
      </c>
    </row>
    <row r="57" spans="3:20" ht="15.6" thickBot="1">
      <c r="C57" s="396" t="s">
        <v>553</v>
      </c>
      <c r="E57" s="419">
        <v>1</v>
      </c>
      <c r="F57" s="391" t="s">
        <v>194</v>
      </c>
      <c r="G57" s="391"/>
      <c r="H57" s="391"/>
      <c r="I57" s="391"/>
      <c r="J57" s="391"/>
      <c r="K57" s="391"/>
      <c r="L57" s="392"/>
      <c r="M57" s="285"/>
      <c r="N57" s="285"/>
      <c r="O57" s="285"/>
      <c r="P57" s="285"/>
      <c r="Q57" s="268" t="s">
        <v>544</v>
      </c>
      <c r="R57" s="250" t="s">
        <v>539</v>
      </c>
      <c r="S57" s="250" t="s">
        <v>550</v>
      </c>
      <c r="T57" s="250" t="s">
        <v>247</v>
      </c>
    </row>
    <row r="58" spans="3:20" ht="16.2" thickBot="1">
      <c r="C58" s="420" t="s">
        <v>93</v>
      </c>
      <c r="E58" s="412"/>
      <c r="F58" s="408" t="s">
        <v>158</v>
      </c>
      <c r="G58" s="284"/>
      <c r="H58" s="284"/>
      <c r="L58" s="397"/>
      <c r="M58" s="285"/>
      <c r="N58" s="285"/>
      <c r="O58" s="285"/>
      <c r="P58" s="285"/>
      <c r="Q58" s="278" t="s">
        <v>511</v>
      </c>
      <c r="R58" s="260" t="s">
        <v>188</v>
      </c>
      <c r="S58" s="260" t="s">
        <v>434</v>
      </c>
      <c r="T58" s="250" t="s">
        <v>248</v>
      </c>
    </row>
    <row r="59" spans="3:20" ht="15">
      <c r="C59" s="387"/>
      <c r="D59" s="388"/>
      <c r="E59" s="409">
        <v>0</v>
      </c>
      <c r="F59" s="410" t="s">
        <v>195</v>
      </c>
      <c r="G59" s="410"/>
      <c r="H59" s="410"/>
      <c r="I59" s="410"/>
      <c r="J59" s="410"/>
      <c r="K59" s="410"/>
      <c r="L59" s="411"/>
      <c r="M59" s="285"/>
      <c r="N59" s="285"/>
      <c r="O59" s="285"/>
      <c r="P59" s="285"/>
      <c r="Q59" s="268" t="s">
        <v>512</v>
      </c>
      <c r="R59" s="250" t="s">
        <v>201</v>
      </c>
      <c r="S59" s="250" t="s">
        <v>435</v>
      </c>
      <c r="T59" s="250" t="s">
        <v>249</v>
      </c>
    </row>
    <row r="60" spans="3:20" ht="15">
      <c r="C60" s="421" t="s">
        <v>554</v>
      </c>
      <c r="D60" s="422"/>
      <c r="E60" s="412">
        <v>0.2</v>
      </c>
      <c r="F60" s="284" t="s">
        <v>196</v>
      </c>
      <c r="G60" s="284"/>
      <c r="H60" s="284"/>
      <c r="L60" s="397"/>
      <c r="M60" s="285"/>
      <c r="N60" s="285"/>
      <c r="O60" s="285"/>
      <c r="P60" s="285"/>
      <c r="Q60" s="268" t="s">
        <v>513</v>
      </c>
      <c r="R60" s="250" t="s">
        <v>202</v>
      </c>
      <c r="S60" s="250" t="s">
        <v>436</v>
      </c>
      <c r="T60" s="250" t="s">
        <v>250</v>
      </c>
    </row>
    <row r="61" spans="3:20" ht="15">
      <c r="C61" s="420" t="s">
        <v>93</v>
      </c>
      <c r="E61" s="412">
        <v>0.4</v>
      </c>
      <c r="F61" s="284" t="s">
        <v>197</v>
      </c>
      <c r="G61" s="284"/>
      <c r="H61" s="284"/>
      <c r="L61" s="397"/>
      <c r="M61" s="285"/>
      <c r="N61" s="285"/>
      <c r="O61" s="285"/>
      <c r="P61" s="285"/>
      <c r="Q61" s="268" t="s">
        <v>514</v>
      </c>
      <c r="R61" s="250" t="s">
        <v>203</v>
      </c>
      <c r="S61" s="250" t="s">
        <v>437</v>
      </c>
      <c r="T61" s="250" t="s">
        <v>251</v>
      </c>
    </row>
    <row r="62" spans="3:20" ht="15.6" thickBot="1">
      <c r="C62" s="390"/>
      <c r="D62" s="391"/>
      <c r="E62" s="412">
        <v>0.6</v>
      </c>
      <c r="F62" s="284" t="s">
        <v>198</v>
      </c>
      <c r="G62" s="284"/>
      <c r="H62" s="284"/>
      <c r="L62" s="397"/>
      <c r="M62" s="285"/>
      <c r="N62" s="285"/>
      <c r="O62" s="285"/>
      <c r="P62" s="285"/>
      <c r="Q62" s="268" t="s">
        <v>515</v>
      </c>
      <c r="R62" s="250" t="s">
        <v>204</v>
      </c>
      <c r="S62" s="250" t="s">
        <v>438</v>
      </c>
      <c r="T62" s="250" t="s">
        <v>252</v>
      </c>
    </row>
    <row r="63" spans="3:20" ht="15">
      <c r="E63" s="412">
        <v>0.8</v>
      </c>
      <c r="F63" s="284" t="s">
        <v>199</v>
      </c>
      <c r="G63" s="284"/>
      <c r="H63" s="284"/>
      <c r="L63" s="397"/>
      <c r="M63" s="285"/>
      <c r="N63" s="285"/>
      <c r="O63" s="285"/>
      <c r="P63" s="285"/>
      <c r="Q63" s="268" t="s">
        <v>516</v>
      </c>
      <c r="R63" s="250" t="s">
        <v>205</v>
      </c>
      <c r="S63" s="250" t="s">
        <v>439</v>
      </c>
      <c r="T63" s="250" t="s">
        <v>253</v>
      </c>
    </row>
    <row r="64" spans="3:20" ht="15.6" thickBot="1">
      <c r="E64" s="419">
        <v>1</v>
      </c>
      <c r="F64" s="391" t="s">
        <v>200</v>
      </c>
      <c r="G64" s="391"/>
      <c r="H64" s="391"/>
      <c r="I64" s="391"/>
      <c r="J64" s="391"/>
      <c r="K64" s="391"/>
      <c r="L64" s="392"/>
      <c r="M64" s="285"/>
      <c r="N64" s="285"/>
      <c r="O64" s="285"/>
      <c r="P64" s="285"/>
      <c r="Q64" s="268" t="s">
        <v>517</v>
      </c>
      <c r="R64" s="250" t="s">
        <v>206</v>
      </c>
      <c r="S64" s="250" t="s">
        <v>440</v>
      </c>
      <c r="T64" s="250" t="s">
        <v>254</v>
      </c>
    </row>
    <row r="65" spans="3:20" ht="15.6" thickBot="1">
      <c r="G65" s="284"/>
      <c r="H65" s="284"/>
      <c r="Q65" s="261"/>
      <c r="R65" s="248"/>
      <c r="S65" s="248"/>
      <c r="T65" s="248"/>
    </row>
    <row r="66" spans="3:20" ht="15.6" thickBot="1">
      <c r="C66" s="384" t="s">
        <v>55</v>
      </c>
      <c r="D66" s="423"/>
      <c r="E66" s="384" t="s">
        <v>98</v>
      </c>
      <c r="F66" s="423"/>
      <c r="G66" s="423"/>
      <c r="H66" s="423"/>
      <c r="I66" s="423"/>
      <c r="J66" s="423"/>
      <c r="K66" s="423"/>
      <c r="L66" s="424"/>
      <c r="Q66" s="276"/>
      <c r="R66" s="258"/>
      <c r="S66" s="258"/>
      <c r="T66" s="258"/>
    </row>
    <row r="67" spans="3:20" ht="15">
      <c r="G67" s="284"/>
      <c r="H67" s="284"/>
      <c r="Q67" s="261"/>
      <c r="R67" s="248"/>
      <c r="S67" s="248"/>
      <c r="T67" s="248"/>
    </row>
    <row r="68" spans="3:20" ht="15.6" thickBot="1">
      <c r="G68" s="284"/>
      <c r="H68" s="284"/>
      <c r="Q68" s="261"/>
      <c r="R68" s="248"/>
      <c r="S68" s="248"/>
      <c r="T68" s="248"/>
    </row>
    <row r="69" spans="3:20" ht="15.6" thickBot="1">
      <c r="C69" s="384" t="s">
        <v>55</v>
      </c>
      <c r="D69" s="423"/>
      <c r="E69" s="384" t="str">
        <f>E11</f>
        <v>Average slope</v>
      </c>
      <c r="F69" s="423"/>
      <c r="G69" s="423"/>
      <c r="H69" s="423"/>
      <c r="I69" s="423"/>
      <c r="J69" s="423"/>
      <c r="K69" s="423"/>
      <c r="L69" s="424"/>
      <c r="Q69" s="276" t="str">
        <f>Q11</f>
        <v>Pendiente media</v>
      </c>
      <c r="R69" s="258" t="str">
        <f>R11</f>
        <v>Pente moyenne</v>
      </c>
      <c r="S69" s="258" t="str">
        <f>S11</f>
        <v>Pendenza media</v>
      </c>
      <c r="T69" s="258" t="str">
        <f t="shared" ref="T69" si="2">T11</f>
        <v>Steigung (durchschnittlich)</v>
      </c>
    </row>
    <row r="70" spans="3:20" ht="15">
      <c r="C70" s="396"/>
      <c r="E70" s="396"/>
      <c r="G70" s="284"/>
      <c r="H70" s="284"/>
      <c r="L70" s="397"/>
      <c r="Q70" s="261"/>
      <c r="R70" s="248"/>
      <c r="S70" s="248"/>
      <c r="T70" s="248"/>
    </row>
    <row r="71" spans="3:20" ht="15">
      <c r="C71" s="396"/>
      <c r="E71" s="396"/>
      <c r="G71" s="284"/>
      <c r="H71" s="284"/>
      <c r="J71" s="425" t="s">
        <v>207</v>
      </c>
      <c r="L71" s="397"/>
      <c r="Q71" s="261" t="s">
        <v>518</v>
      </c>
      <c r="R71" s="248" t="s">
        <v>258</v>
      </c>
      <c r="S71" s="248" t="s">
        <v>441</v>
      </c>
      <c r="T71" s="248" t="s">
        <v>255</v>
      </c>
    </row>
    <row r="72" spans="3:20" ht="15">
      <c r="C72" s="396"/>
      <c r="E72" s="396"/>
      <c r="G72" s="284"/>
      <c r="H72" s="284"/>
      <c r="J72" s="425" t="s">
        <v>114</v>
      </c>
      <c r="K72" s="284" t="s">
        <v>96</v>
      </c>
      <c r="L72" s="397"/>
      <c r="Q72" s="261" t="s">
        <v>519</v>
      </c>
      <c r="R72" s="248" t="s">
        <v>257</v>
      </c>
      <c r="S72" s="248" t="s">
        <v>420</v>
      </c>
      <c r="T72" s="248" t="s">
        <v>256</v>
      </c>
    </row>
    <row r="73" spans="3:20" ht="15">
      <c r="C73" s="396"/>
      <c r="E73" s="396"/>
      <c r="G73" s="284"/>
      <c r="H73" s="284"/>
      <c r="L73" s="397"/>
      <c r="Q73" s="248"/>
      <c r="R73" s="248"/>
      <c r="S73" s="248"/>
      <c r="T73" s="248"/>
    </row>
    <row r="74" spans="3:20" ht="15">
      <c r="C74" s="396"/>
      <c r="E74" s="396"/>
      <c r="G74" s="284"/>
      <c r="H74" s="284"/>
      <c r="L74" s="397"/>
      <c r="Q74" s="248"/>
      <c r="R74" s="248"/>
      <c r="S74" s="248"/>
      <c r="T74" s="248"/>
    </row>
    <row r="75" spans="3:20" ht="15.6" thickBot="1">
      <c r="C75" s="390"/>
      <c r="D75" s="391"/>
      <c r="E75" s="390"/>
      <c r="F75" s="391"/>
      <c r="G75" s="391"/>
      <c r="H75" s="391"/>
      <c r="I75" s="391"/>
      <c r="J75" s="391"/>
      <c r="K75" s="391"/>
      <c r="L75" s="392"/>
      <c r="Q75" s="248"/>
      <c r="R75" s="248"/>
      <c r="S75" s="248"/>
      <c r="T75" s="248"/>
    </row>
  </sheetData>
  <mergeCells count="3">
    <mergeCell ref="E3:L3"/>
    <mergeCell ref="E43:G46"/>
    <mergeCell ref="J7:P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300" r:id="rId1"/>
  <headerFooter alignWithMargins="0">
    <oddHeader xml:space="preserve">&amp;L&amp;"Calibri"&amp;10&amp;K000000 General Business&amp;1#_x000D_&amp;C </oddHeader>
    <oddFooter>&amp;L&amp;"Arial,Gras"&amp;9Volvo Construction Equipment Europe SAS&amp;C &amp;9&amp;F -  Edité le &amp;D&amp;R&amp;9Marketing Produit GPPE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53"/>
  <sheetViews>
    <sheetView showGridLines="0" tabSelected="1" zoomScale="115" zoomScaleNormal="115" workbookViewId="0">
      <pane ySplit="3" topLeftCell="A27" activePane="bottomLeft" state="frozen"/>
      <selection pane="bottomLeft" activeCell="G35" sqref="G35"/>
    </sheetView>
  </sheetViews>
  <sheetFormatPr defaultColWidth="11.44140625" defaultRowHeight="14.4" outlineLevelCol="1"/>
  <cols>
    <col min="1" max="1" width="3.44140625" customWidth="1"/>
    <col min="2" max="2" width="30.88671875" customWidth="1"/>
    <col min="3" max="6" width="30.88671875" hidden="1" customWidth="1" outlineLevel="1"/>
    <col min="7" max="7" width="27.44140625" bestFit="1" customWidth="1" collapsed="1"/>
    <col min="8" max="8" width="12.5546875" bestFit="1" customWidth="1"/>
    <col min="9" max="9" width="14.5546875" bestFit="1" customWidth="1"/>
    <col min="13" max="13" width="11.44140625" outlineLevel="1"/>
    <col min="14" max="14" width="13" bestFit="1" customWidth="1"/>
  </cols>
  <sheetData>
    <row r="2" spans="2:9" ht="15" thickBot="1">
      <c r="B2" s="279" t="s">
        <v>452</v>
      </c>
      <c r="C2" s="279" t="s">
        <v>208</v>
      </c>
      <c r="D2" s="279" t="s">
        <v>210</v>
      </c>
      <c r="E2" s="279" t="s">
        <v>450</v>
      </c>
      <c r="F2" s="279" t="s">
        <v>211</v>
      </c>
    </row>
    <row r="3" spans="2:9" ht="18" thickBot="1">
      <c r="B3" s="244" t="s">
        <v>113</v>
      </c>
      <c r="C3" s="262" t="s">
        <v>368</v>
      </c>
      <c r="D3" s="262" t="s">
        <v>451</v>
      </c>
      <c r="E3" s="262" t="s">
        <v>113</v>
      </c>
      <c r="F3" s="262" t="s">
        <v>113</v>
      </c>
      <c r="G3" s="245" t="s">
        <v>288</v>
      </c>
      <c r="H3" s="245" t="s">
        <v>259</v>
      </c>
    </row>
    <row r="4" spans="2:9" ht="16.8">
      <c r="B4" s="242" t="s">
        <v>371</v>
      </c>
      <c r="C4" s="263" t="s">
        <v>373</v>
      </c>
      <c r="D4" s="263" t="s">
        <v>375</v>
      </c>
      <c r="E4" s="263" t="s">
        <v>381</v>
      </c>
      <c r="F4" s="166" t="s">
        <v>468</v>
      </c>
      <c r="G4" s="243">
        <v>2</v>
      </c>
      <c r="H4" s="166">
        <v>100</v>
      </c>
      <c r="I4" s="456"/>
    </row>
    <row r="5" spans="2:9" ht="16.8">
      <c r="B5" s="242" t="s">
        <v>273</v>
      </c>
      <c r="C5" s="263" t="s">
        <v>294</v>
      </c>
      <c r="D5" s="263" t="s">
        <v>352</v>
      </c>
      <c r="E5" s="263" t="s">
        <v>378</v>
      </c>
      <c r="F5" s="166" t="s">
        <v>461</v>
      </c>
      <c r="G5" s="243">
        <v>1.9</v>
      </c>
      <c r="H5" s="166">
        <v>110</v>
      </c>
      <c r="I5" s="456"/>
    </row>
    <row r="6" spans="2:9" ht="16.8">
      <c r="B6" s="242" t="s">
        <v>271</v>
      </c>
      <c r="C6" s="263" t="s">
        <v>355</v>
      </c>
      <c r="D6" s="263" t="s">
        <v>354</v>
      </c>
      <c r="E6" s="263" t="s">
        <v>376</v>
      </c>
      <c r="F6" s="166" t="s">
        <v>463</v>
      </c>
      <c r="G6" s="243">
        <v>1.9</v>
      </c>
      <c r="H6" s="166">
        <v>105</v>
      </c>
      <c r="I6" s="456"/>
    </row>
    <row r="7" spans="2:9" ht="16.8">
      <c r="B7" s="241" t="s">
        <v>262</v>
      </c>
      <c r="C7" s="170" t="s">
        <v>301</v>
      </c>
      <c r="D7" s="170" t="s">
        <v>360</v>
      </c>
      <c r="E7" s="170" t="s">
        <v>529</v>
      </c>
      <c r="F7" s="171" t="s">
        <v>469</v>
      </c>
      <c r="G7" s="239">
        <v>1.8</v>
      </c>
      <c r="H7" s="171">
        <v>110</v>
      </c>
      <c r="I7" s="456"/>
    </row>
    <row r="8" spans="2:9" ht="16.8">
      <c r="B8" s="241" t="s">
        <v>289</v>
      </c>
      <c r="C8" s="170" t="s">
        <v>303</v>
      </c>
      <c r="D8" s="170" t="s">
        <v>308</v>
      </c>
      <c r="E8" s="170" t="s">
        <v>395</v>
      </c>
      <c r="F8" s="171" t="s">
        <v>478</v>
      </c>
      <c r="G8" s="239">
        <v>1.8</v>
      </c>
      <c r="H8" s="171">
        <v>100</v>
      </c>
      <c r="I8" s="456"/>
    </row>
    <row r="9" spans="2:9" ht="16.8">
      <c r="B9" s="241" t="s">
        <v>290</v>
      </c>
      <c r="C9" s="170" t="s">
        <v>306</v>
      </c>
      <c r="D9" s="170" t="s">
        <v>307</v>
      </c>
      <c r="E9" s="170" t="s">
        <v>396</v>
      </c>
      <c r="F9" s="171" t="s">
        <v>479</v>
      </c>
      <c r="G9" s="239">
        <v>1.8</v>
      </c>
      <c r="H9" s="171">
        <v>100</v>
      </c>
      <c r="I9" s="456"/>
    </row>
    <row r="10" spans="2:9" ht="16.8">
      <c r="B10" s="241" t="s">
        <v>291</v>
      </c>
      <c r="C10" s="170" t="s">
        <v>291</v>
      </c>
      <c r="D10" s="170" t="s">
        <v>338</v>
      </c>
      <c r="E10" s="170" t="s">
        <v>394</v>
      </c>
      <c r="F10" s="171" t="s">
        <v>338</v>
      </c>
      <c r="G10" s="239">
        <v>1.8</v>
      </c>
      <c r="H10" s="171">
        <v>95</v>
      </c>
      <c r="I10" s="456"/>
    </row>
    <row r="11" spans="2:9" ht="16.8">
      <c r="B11" s="241" t="s">
        <v>274</v>
      </c>
      <c r="C11" s="170" t="s">
        <v>295</v>
      </c>
      <c r="D11" s="170" t="s">
        <v>351</v>
      </c>
      <c r="E11" s="170" t="s">
        <v>379</v>
      </c>
      <c r="F11" s="171" t="s">
        <v>460</v>
      </c>
      <c r="G11" s="239">
        <v>1.7</v>
      </c>
      <c r="H11" s="171">
        <v>110</v>
      </c>
      <c r="I11" s="456"/>
    </row>
    <row r="12" spans="2:9" ht="16.8">
      <c r="B12" s="241" t="s">
        <v>370</v>
      </c>
      <c r="C12" s="170" t="s">
        <v>372</v>
      </c>
      <c r="D12" s="170" t="s">
        <v>374</v>
      </c>
      <c r="E12" s="170" t="s">
        <v>380</v>
      </c>
      <c r="F12" s="171" t="s">
        <v>467</v>
      </c>
      <c r="G12" s="239">
        <v>1.7</v>
      </c>
      <c r="H12" s="171">
        <v>105</v>
      </c>
      <c r="I12" s="456"/>
    </row>
    <row r="13" spans="2:9" ht="16.8">
      <c r="B13" s="241" t="s">
        <v>278</v>
      </c>
      <c r="C13" s="170" t="s">
        <v>297</v>
      </c>
      <c r="D13" s="170" t="s">
        <v>349</v>
      </c>
      <c r="E13" s="170" t="s">
        <v>390</v>
      </c>
      <c r="F13" s="171" t="s">
        <v>457</v>
      </c>
      <c r="G13" s="239">
        <v>1.65</v>
      </c>
      <c r="H13" s="171">
        <v>105</v>
      </c>
      <c r="I13" s="456"/>
    </row>
    <row r="14" spans="2:9" ht="16.8">
      <c r="B14" s="241" t="s">
        <v>282</v>
      </c>
      <c r="C14" s="170" t="s">
        <v>343</v>
      </c>
      <c r="D14" s="170" t="s">
        <v>356</v>
      </c>
      <c r="E14" s="170" t="s">
        <v>386</v>
      </c>
      <c r="F14" s="171" t="s">
        <v>453</v>
      </c>
      <c r="G14" s="239">
        <v>1.6</v>
      </c>
      <c r="H14" s="171">
        <v>110</v>
      </c>
      <c r="I14" s="456"/>
    </row>
    <row r="15" spans="2:9" ht="16.8">
      <c r="B15" s="241" t="s">
        <v>277</v>
      </c>
      <c r="C15" s="170" t="s">
        <v>299</v>
      </c>
      <c r="D15" s="170" t="s">
        <v>353</v>
      </c>
      <c r="E15" s="170" t="s">
        <v>388</v>
      </c>
      <c r="F15" s="171" t="s">
        <v>458</v>
      </c>
      <c r="G15" s="239">
        <v>1.6</v>
      </c>
      <c r="H15" s="171">
        <v>110</v>
      </c>
      <c r="I15" s="456"/>
    </row>
    <row r="16" spans="2:9" ht="16.8">
      <c r="B16" s="241" t="s">
        <v>270</v>
      </c>
      <c r="C16" s="170" t="s">
        <v>292</v>
      </c>
      <c r="D16" s="170" t="s">
        <v>346</v>
      </c>
      <c r="E16" s="170" t="s">
        <v>369</v>
      </c>
      <c r="F16" s="171" t="s">
        <v>462</v>
      </c>
      <c r="G16" s="239">
        <v>1.6</v>
      </c>
      <c r="H16" s="171">
        <v>110</v>
      </c>
      <c r="I16" s="456"/>
    </row>
    <row r="17" spans="2:9" ht="16.8">
      <c r="B17" s="241" t="s">
        <v>275</v>
      </c>
      <c r="C17" s="170" t="s">
        <v>293</v>
      </c>
      <c r="D17" s="170" t="s">
        <v>344</v>
      </c>
      <c r="E17" s="170" t="s">
        <v>382</v>
      </c>
      <c r="F17" s="171" t="s">
        <v>464</v>
      </c>
      <c r="G17" s="239">
        <v>1.6</v>
      </c>
      <c r="H17" s="171">
        <v>110</v>
      </c>
      <c r="I17" s="456"/>
    </row>
    <row r="18" spans="2:9" ht="16.8">
      <c r="B18" s="241" t="s">
        <v>280</v>
      </c>
      <c r="C18" s="170" t="s">
        <v>324</v>
      </c>
      <c r="D18" s="170" t="s">
        <v>358</v>
      </c>
      <c r="E18" s="170" t="s">
        <v>384</v>
      </c>
      <c r="F18" s="171" t="s">
        <v>466</v>
      </c>
      <c r="G18" s="239">
        <v>1.6</v>
      </c>
      <c r="H18" s="171">
        <v>100</v>
      </c>
      <c r="I18" s="456"/>
    </row>
    <row r="19" spans="2:9" ht="16.8">
      <c r="B19" s="241" t="s">
        <v>261</v>
      </c>
      <c r="C19" s="170" t="s">
        <v>345</v>
      </c>
      <c r="D19" s="170" t="s">
        <v>359</v>
      </c>
      <c r="E19" s="170" t="s">
        <v>524</v>
      </c>
      <c r="F19" s="171" t="s">
        <v>470</v>
      </c>
      <c r="G19" s="239">
        <v>1.6</v>
      </c>
      <c r="H19" s="171">
        <v>100</v>
      </c>
      <c r="I19" s="456"/>
    </row>
    <row r="20" spans="2:9" ht="16.8">
      <c r="B20" s="241" t="s">
        <v>265</v>
      </c>
      <c r="C20" s="170" t="s">
        <v>399</v>
      </c>
      <c r="D20" s="170" t="s">
        <v>398</v>
      </c>
      <c r="E20" s="170" t="s">
        <v>397</v>
      </c>
      <c r="F20" s="171" t="s">
        <v>480</v>
      </c>
      <c r="G20" s="239">
        <v>1.6</v>
      </c>
      <c r="H20" s="171">
        <v>95</v>
      </c>
      <c r="I20" s="456"/>
    </row>
    <row r="21" spans="2:9" ht="16.8">
      <c r="B21" s="241" t="s">
        <v>267</v>
      </c>
      <c r="C21" s="170" t="s">
        <v>267</v>
      </c>
      <c r="D21" s="170" t="s">
        <v>332</v>
      </c>
      <c r="E21" s="264" t="s">
        <v>407</v>
      </c>
      <c r="F21" s="171" t="s">
        <v>332</v>
      </c>
      <c r="G21" s="239">
        <v>1.6</v>
      </c>
      <c r="H21" s="171">
        <v>100</v>
      </c>
      <c r="I21" s="456"/>
    </row>
    <row r="22" spans="2:9" ht="16.8">
      <c r="B22" s="241" t="s">
        <v>287</v>
      </c>
      <c r="C22" s="170" t="s">
        <v>304</v>
      </c>
      <c r="D22" s="170" t="s">
        <v>305</v>
      </c>
      <c r="E22" s="170" t="s">
        <v>400</v>
      </c>
      <c r="F22" s="171" t="s">
        <v>481</v>
      </c>
      <c r="G22" s="239">
        <v>1.53</v>
      </c>
      <c r="H22" s="171">
        <v>100</v>
      </c>
      <c r="I22" s="456"/>
    </row>
    <row r="23" spans="2:9" ht="16.8">
      <c r="B23" s="241" t="s">
        <v>272</v>
      </c>
      <c r="C23" s="170" t="s">
        <v>296</v>
      </c>
      <c r="D23" s="170" t="s">
        <v>350</v>
      </c>
      <c r="E23" s="170" t="s">
        <v>377</v>
      </c>
      <c r="F23" s="171" t="s">
        <v>459</v>
      </c>
      <c r="G23" s="239">
        <v>1.5</v>
      </c>
      <c r="H23" s="171">
        <v>110</v>
      </c>
      <c r="I23" s="456"/>
    </row>
    <row r="24" spans="2:9" ht="16.8">
      <c r="B24" s="241" t="s">
        <v>264</v>
      </c>
      <c r="C24" s="170" t="s">
        <v>264</v>
      </c>
      <c r="D24" s="170" t="s">
        <v>309</v>
      </c>
      <c r="E24" s="170" t="s">
        <v>528</v>
      </c>
      <c r="F24" s="171" t="s">
        <v>309</v>
      </c>
      <c r="G24" s="239">
        <v>1.5</v>
      </c>
      <c r="H24" s="171">
        <v>100</v>
      </c>
      <c r="I24" s="456"/>
    </row>
    <row r="25" spans="2:9" ht="16.8">
      <c r="B25" s="241" t="s">
        <v>276</v>
      </c>
      <c r="C25" s="170" t="s">
        <v>298</v>
      </c>
      <c r="D25" s="170" t="s">
        <v>348</v>
      </c>
      <c r="E25" s="170" t="s">
        <v>389</v>
      </c>
      <c r="F25" s="171" t="s">
        <v>456</v>
      </c>
      <c r="G25" s="239">
        <v>1.4</v>
      </c>
      <c r="H25" s="171">
        <v>110</v>
      </c>
      <c r="I25" s="456"/>
    </row>
    <row r="26" spans="2:9" ht="16.8">
      <c r="B26" s="241" t="s">
        <v>279</v>
      </c>
      <c r="C26" s="170" t="s">
        <v>325</v>
      </c>
      <c r="D26" s="170" t="s">
        <v>357</v>
      </c>
      <c r="E26" s="170" t="s">
        <v>383</v>
      </c>
      <c r="F26" s="171" t="s">
        <v>465</v>
      </c>
      <c r="G26" s="239">
        <v>1.4</v>
      </c>
      <c r="H26" s="171">
        <v>110</v>
      </c>
      <c r="I26" s="456"/>
    </row>
    <row r="27" spans="2:9" ht="16.8">
      <c r="B27" s="241" t="s">
        <v>281</v>
      </c>
      <c r="C27" s="170" t="s">
        <v>300</v>
      </c>
      <c r="D27" s="170" t="s">
        <v>347</v>
      </c>
      <c r="E27" s="170" t="s">
        <v>385</v>
      </c>
      <c r="F27" s="171" t="s">
        <v>454</v>
      </c>
      <c r="G27" s="239">
        <v>1.3</v>
      </c>
      <c r="H27" s="171">
        <v>115</v>
      </c>
      <c r="I27" s="456"/>
    </row>
    <row r="28" spans="2:9" ht="16.8">
      <c r="B28" s="241" t="s">
        <v>365</v>
      </c>
      <c r="C28" s="170" t="s">
        <v>366</v>
      </c>
      <c r="D28" s="170" t="s">
        <v>367</v>
      </c>
      <c r="E28" s="170" t="s">
        <v>527</v>
      </c>
      <c r="F28" s="171" t="s">
        <v>477</v>
      </c>
      <c r="G28" s="239">
        <v>1.3</v>
      </c>
      <c r="H28" s="171">
        <v>85</v>
      </c>
      <c r="I28" s="456"/>
    </row>
    <row r="29" spans="2:9" ht="16.8">
      <c r="B29" s="241" t="s">
        <v>269</v>
      </c>
      <c r="C29" s="170" t="s">
        <v>330</v>
      </c>
      <c r="D29" s="170" t="s">
        <v>331</v>
      </c>
      <c r="E29" s="170" t="s">
        <v>526</v>
      </c>
      <c r="F29" s="171" t="s">
        <v>476</v>
      </c>
      <c r="G29" s="239">
        <v>1.25</v>
      </c>
      <c r="H29" s="171">
        <v>85</v>
      </c>
      <c r="I29" s="456"/>
    </row>
    <row r="30" spans="2:9" ht="16.8">
      <c r="B30" s="241" t="s">
        <v>286</v>
      </c>
      <c r="C30" s="170" t="s">
        <v>302</v>
      </c>
      <c r="D30" s="170" t="s">
        <v>329</v>
      </c>
      <c r="E30" s="170" t="s">
        <v>393</v>
      </c>
      <c r="F30" s="171" t="s">
        <v>475</v>
      </c>
      <c r="G30" s="239">
        <v>1.2</v>
      </c>
      <c r="H30" s="171">
        <v>100</v>
      </c>
      <c r="I30" s="456"/>
    </row>
    <row r="31" spans="2:9" ht="16.8">
      <c r="B31" s="241" t="s">
        <v>340</v>
      </c>
      <c r="C31" s="170" t="s">
        <v>341</v>
      </c>
      <c r="D31" s="170" t="s">
        <v>342</v>
      </c>
      <c r="E31" s="170" t="s">
        <v>387</v>
      </c>
      <c r="F31" s="171" t="s">
        <v>455</v>
      </c>
      <c r="G31" s="239">
        <v>1.1000000000000001</v>
      </c>
      <c r="H31" s="171">
        <v>110</v>
      </c>
      <c r="I31" s="456"/>
    </row>
    <row r="32" spans="2:9" ht="16.8">
      <c r="B32" s="241" t="s">
        <v>311</v>
      </c>
      <c r="C32" s="170" t="s">
        <v>313</v>
      </c>
      <c r="D32" s="170" t="s">
        <v>315</v>
      </c>
      <c r="E32" s="170" t="s">
        <v>402</v>
      </c>
      <c r="F32" s="171" t="s">
        <v>483</v>
      </c>
      <c r="G32" s="239">
        <v>1</v>
      </c>
      <c r="H32" s="171">
        <v>100</v>
      </c>
      <c r="I32" s="456"/>
    </row>
    <row r="33" spans="2:9" ht="16.8">
      <c r="B33" s="241" t="s">
        <v>317</v>
      </c>
      <c r="C33" s="170" t="s">
        <v>319</v>
      </c>
      <c r="D33" s="170" t="s">
        <v>334</v>
      </c>
      <c r="E33" s="170" t="s">
        <v>404</v>
      </c>
      <c r="F33" s="171" t="s">
        <v>485</v>
      </c>
      <c r="G33" s="239">
        <v>1</v>
      </c>
      <c r="H33" s="171">
        <v>100</v>
      </c>
      <c r="I33" s="456"/>
    </row>
    <row r="34" spans="2:9" ht="16.8">
      <c r="B34" s="241" t="s">
        <v>321</v>
      </c>
      <c r="C34" s="170" t="s">
        <v>323</v>
      </c>
      <c r="D34" s="170" t="s">
        <v>336</v>
      </c>
      <c r="E34" s="170" t="s">
        <v>406</v>
      </c>
      <c r="F34" s="171" t="s">
        <v>487</v>
      </c>
      <c r="G34" s="239">
        <v>1</v>
      </c>
      <c r="H34" s="171">
        <v>110</v>
      </c>
      <c r="I34" s="456"/>
    </row>
    <row r="35" spans="2:9" ht="16.8">
      <c r="B35" s="241" t="s">
        <v>589</v>
      </c>
      <c r="C35" s="170" t="s">
        <v>589</v>
      </c>
      <c r="D35" s="170" t="s">
        <v>589</v>
      </c>
      <c r="E35" s="170" t="s">
        <v>589</v>
      </c>
      <c r="F35" s="171" t="s">
        <v>589</v>
      </c>
      <c r="G35" s="239">
        <v>0.9</v>
      </c>
      <c r="H35" s="171">
        <v>110</v>
      </c>
      <c r="I35" s="170" t="s">
        <v>590</v>
      </c>
    </row>
    <row r="36" spans="2:9" ht="16.8">
      <c r="B36" s="241" t="s">
        <v>285</v>
      </c>
      <c r="C36" s="170" t="s">
        <v>363</v>
      </c>
      <c r="D36" s="170" t="s">
        <v>364</v>
      </c>
      <c r="E36" s="170" t="s">
        <v>392</v>
      </c>
      <c r="F36" s="171" t="s">
        <v>474</v>
      </c>
      <c r="G36" s="239">
        <v>0.8</v>
      </c>
      <c r="H36" s="171">
        <v>100</v>
      </c>
      <c r="I36" s="456"/>
    </row>
    <row r="37" spans="2:9" ht="16.8">
      <c r="B37" s="241" t="s">
        <v>310</v>
      </c>
      <c r="C37" s="170" t="s">
        <v>312</v>
      </c>
      <c r="D37" s="170" t="s">
        <v>314</v>
      </c>
      <c r="E37" s="170" t="s">
        <v>401</v>
      </c>
      <c r="F37" s="171" t="s">
        <v>482</v>
      </c>
      <c r="G37" s="239">
        <v>0.8</v>
      </c>
      <c r="H37" s="171">
        <v>105</v>
      </c>
      <c r="I37" s="456"/>
    </row>
    <row r="38" spans="2:9" ht="16.8">
      <c r="B38" s="241" t="s">
        <v>583</v>
      </c>
      <c r="C38" s="170" t="s">
        <v>583</v>
      </c>
      <c r="D38" s="170" t="s">
        <v>583</v>
      </c>
      <c r="E38" s="170" t="s">
        <v>583</v>
      </c>
      <c r="F38" s="171" t="s">
        <v>583</v>
      </c>
      <c r="G38" s="239">
        <v>0.75</v>
      </c>
      <c r="H38" s="171">
        <v>110</v>
      </c>
      <c r="I38" s="170" t="s">
        <v>581</v>
      </c>
    </row>
    <row r="39" spans="2:9" ht="16.8">
      <c r="B39" s="241" t="s">
        <v>268</v>
      </c>
      <c r="C39" s="170" t="s">
        <v>362</v>
      </c>
      <c r="D39" s="170" t="s">
        <v>361</v>
      </c>
      <c r="E39" s="170" t="s">
        <v>268</v>
      </c>
      <c r="F39" s="171" t="s">
        <v>473</v>
      </c>
      <c r="G39" s="239">
        <v>0.7</v>
      </c>
      <c r="H39" s="171">
        <v>85</v>
      </c>
      <c r="I39" s="456"/>
    </row>
    <row r="40" spans="2:9" ht="16.8">
      <c r="B40" s="241" t="s">
        <v>591</v>
      </c>
      <c r="C40" s="170" t="s">
        <v>591</v>
      </c>
      <c r="D40" s="170" t="s">
        <v>591</v>
      </c>
      <c r="E40" s="170" t="s">
        <v>591</v>
      </c>
      <c r="F40" s="171" t="s">
        <v>591</v>
      </c>
      <c r="G40" s="239">
        <v>0.7</v>
      </c>
      <c r="H40" s="171">
        <v>100</v>
      </c>
      <c r="I40" s="170" t="s">
        <v>592</v>
      </c>
    </row>
    <row r="41" spans="2:9" ht="16.8">
      <c r="B41" s="241" t="s">
        <v>283</v>
      </c>
      <c r="C41" s="170" t="s">
        <v>328</v>
      </c>
      <c r="D41" s="170" t="s">
        <v>327</v>
      </c>
      <c r="E41" s="170" t="s">
        <v>525</v>
      </c>
      <c r="F41" s="171" t="s">
        <v>472</v>
      </c>
      <c r="G41" s="239">
        <v>0.6</v>
      </c>
      <c r="H41" s="171">
        <v>100</v>
      </c>
      <c r="I41" s="456"/>
    </row>
    <row r="42" spans="2:9" ht="16.8">
      <c r="B42" s="241" t="s">
        <v>316</v>
      </c>
      <c r="C42" s="241" t="s">
        <v>318</v>
      </c>
      <c r="D42" s="241" t="s">
        <v>333</v>
      </c>
      <c r="E42" s="241" t="s">
        <v>403</v>
      </c>
      <c r="F42" s="241" t="s">
        <v>484</v>
      </c>
      <c r="G42" s="239">
        <v>0.6</v>
      </c>
      <c r="H42" s="171">
        <v>100</v>
      </c>
      <c r="I42" s="456"/>
    </row>
    <row r="43" spans="2:9" ht="16.8">
      <c r="B43" s="241" t="s">
        <v>320</v>
      </c>
      <c r="C43" s="241" t="s">
        <v>322</v>
      </c>
      <c r="D43" s="241" t="s">
        <v>335</v>
      </c>
      <c r="E43" s="241" t="s">
        <v>405</v>
      </c>
      <c r="F43" s="241" t="s">
        <v>486</v>
      </c>
      <c r="G43" s="239">
        <v>0.6</v>
      </c>
      <c r="H43" s="171">
        <v>110</v>
      </c>
      <c r="I43" s="456"/>
    </row>
    <row r="44" spans="2:9" ht="16.8">
      <c r="B44" s="241" t="s">
        <v>582</v>
      </c>
      <c r="C44" s="241" t="s">
        <v>582</v>
      </c>
      <c r="D44" s="241" t="s">
        <v>582</v>
      </c>
      <c r="E44" s="241" t="s">
        <v>582</v>
      </c>
      <c r="F44" s="241" t="s">
        <v>582</v>
      </c>
      <c r="G44" s="239">
        <v>0.6</v>
      </c>
      <c r="H44" s="171">
        <v>110</v>
      </c>
      <c r="I44" s="170" t="s">
        <v>584</v>
      </c>
    </row>
    <row r="45" spans="2:9" ht="16.8">
      <c r="B45" s="241" t="s">
        <v>593</v>
      </c>
      <c r="C45" s="241" t="s">
        <v>593</v>
      </c>
      <c r="D45" s="241" t="s">
        <v>593</v>
      </c>
      <c r="E45" s="241" t="s">
        <v>593</v>
      </c>
      <c r="F45" s="241" t="s">
        <v>593</v>
      </c>
      <c r="G45" s="239">
        <v>0.6</v>
      </c>
      <c r="H45" s="171">
        <v>100</v>
      </c>
      <c r="I45" s="170" t="s">
        <v>584</v>
      </c>
    </row>
    <row r="46" spans="2:9" ht="16.8">
      <c r="B46" s="241" t="s">
        <v>579</v>
      </c>
      <c r="C46" s="241" t="s">
        <v>579</v>
      </c>
      <c r="D46" s="241" t="s">
        <v>579</v>
      </c>
      <c r="E46" s="241" t="s">
        <v>579</v>
      </c>
      <c r="F46" s="241" t="s">
        <v>579</v>
      </c>
      <c r="G46" s="239">
        <v>0.55000000000000004</v>
      </c>
      <c r="H46" s="171">
        <v>110</v>
      </c>
      <c r="I46" s="170" t="s">
        <v>580</v>
      </c>
    </row>
    <row r="47" spans="2:9" ht="16.8">
      <c r="B47" s="241" t="s">
        <v>266</v>
      </c>
      <c r="C47" s="241" t="s">
        <v>266</v>
      </c>
      <c r="D47" s="241" t="s">
        <v>266</v>
      </c>
      <c r="E47" s="241" t="s">
        <v>337</v>
      </c>
      <c r="F47" s="241" t="s">
        <v>488</v>
      </c>
      <c r="G47" s="239">
        <v>0.5</v>
      </c>
      <c r="H47" s="171">
        <v>110</v>
      </c>
      <c r="I47" s="456"/>
    </row>
    <row r="48" spans="2:9" ht="16.8">
      <c r="B48" s="241" t="s">
        <v>594</v>
      </c>
      <c r="C48" s="241" t="s">
        <v>594</v>
      </c>
      <c r="D48" s="241" t="s">
        <v>594</v>
      </c>
      <c r="E48" s="241" t="s">
        <v>594</v>
      </c>
      <c r="F48" s="241" t="s">
        <v>594</v>
      </c>
      <c r="G48" s="239">
        <v>0.5</v>
      </c>
      <c r="H48" s="171">
        <v>110</v>
      </c>
      <c r="I48" s="170" t="s">
        <v>595</v>
      </c>
    </row>
    <row r="49" spans="2:9" ht="16.8">
      <c r="B49" s="241" t="s">
        <v>596</v>
      </c>
      <c r="C49" s="241" t="s">
        <v>596</v>
      </c>
      <c r="D49" s="241" t="s">
        <v>596</v>
      </c>
      <c r="E49" s="241" t="s">
        <v>596</v>
      </c>
      <c r="F49" s="241" t="s">
        <v>596</v>
      </c>
      <c r="G49" s="239">
        <v>0.4</v>
      </c>
      <c r="H49" s="171">
        <v>100</v>
      </c>
      <c r="I49" s="170" t="s">
        <v>597</v>
      </c>
    </row>
    <row r="50" spans="2:9" ht="16.8">
      <c r="B50" s="241" t="s">
        <v>577</v>
      </c>
      <c r="C50" s="241" t="s">
        <v>577</v>
      </c>
      <c r="D50" s="241" t="s">
        <v>577</v>
      </c>
      <c r="E50" s="241" t="s">
        <v>577</v>
      </c>
      <c r="F50" s="241" t="s">
        <v>577</v>
      </c>
      <c r="G50" s="239">
        <v>0.2</v>
      </c>
      <c r="H50" s="171">
        <v>100</v>
      </c>
      <c r="I50" s="170" t="s">
        <v>578</v>
      </c>
    </row>
    <row r="51" spans="2:9" ht="16.8">
      <c r="B51" s="241" t="s">
        <v>284</v>
      </c>
      <c r="C51" s="241" t="s">
        <v>326</v>
      </c>
      <c r="D51" s="241" t="s">
        <v>339</v>
      </c>
      <c r="E51" s="241" t="s">
        <v>391</v>
      </c>
      <c r="F51" s="241" t="s">
        <v>471</v>
      </c>
      <c r="G51" s="239">
        <v>0.2</v>
      </c>
      <c r="H51" s="171">
        <v>110</v>
      </c>
      <c r="I51" s="456"/>
    </row>
    <row r="52" spans="2:9" ht="16.8">
      <c r="B52" s="241" t="s">
        <v>587</v>
      </c>
      <c r="C52" s="241" t="s">
        <v>587</v>
      </c>
      <c r="D52" s="241" t="s">
        <v>587</v>
      </c>
      <c r="E52" s="241" t="s">
        <v>587</v>
      </c>
      <c r="F52" s="241" t="s">
        <v>587</v>
      </c>
      <c r="G52" s="239">
        <v>0.12</v>
      </c>
      <c r="H52" s="171">
        <v>110</v>
      </c>
      <c r="I52" s="170" t="s">
        <v>588</v>
      </c>
    </row>
    <row r="53" spans="2:9" ht="16.8">
      <c r="B53" s="241" t="s">
        <v>585</v>
      </c>
      <c r="C53" s="170" t="s">
        <v>585</v>
      </c>
      <c r="D53" s="170" t="s">
        <v>585</v>
      </c>
      <c r="E53" s="170" t="s">
        <v>585</v>
      </c>
      <c r="F53" s="171" t="s">
        <v>585</v>
      </c>
      <c r="G53" s="239">
        <v>7.0000000000000007E-2</v>
      </c>
      <c r="H53" s="171">
        <v>110</v>
      </c>
      <c r="I53" s="170" t="s">
        <v>586</v>
      </c>
    </row>
  </sheetData>
  <autoFilter ref="B3:I53" xr:uid="{00000000-0001-0000-0200-000000000000}">
    <sortState xmlns:xlrd2="http://schemas.microsoft.com/office/spreadsheetml/2017/richdata2" ref="B4:I53">
      <sortCondition descending="1" ref="G3:G53"/>
    </sortState>
  </autoFilter>
  <pageMargins left="0.7" right="0.7" top="0.75" bottom="0.75" header="0.3" footer="0.3"/>
  <pageSetup paperSize="9" orientation="portrait" horizontalDpi="300" verticalDpi="300" r:id="rId1"/>
  <headerFooter>
    <oddHeader>&amp;L&amp;"Calibri"&amp;10&amp;K000000 General Business&amp;1#_x000D_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V71"/>
  <sheetViews>
    <sheetView showGridLines="0" topLeftCell="A53" zoomScale="90" zoomScaleNormal="90" workbookViewId="0">
      <selection activeCell="E76" sqref="E76"/>
    </sheetView>
  </sheetViews>
  <sheetFormatPr defaultColWidth="9.109375" defaultRowHeight="16.8" outlineLevelCol="1"/>
  <cols>
    <col min="1" max="1" width="2.44140625" style="26" customWidth="1"/>
    <col min="2" max="2" width="1.6640625" style="27" customWidth="1"/>
    <col min="3" max="3" width="7.6640625" style="27" hidden="1" customWidth="1"/>
    <col min="4" max="4" width="11.6640625" style="27" hidden="1" customWidth="1"/>
    <col min="5" max="5" width="26.88671875" style="27" customWidth="1"/>
    <col min="6" max="6" width="13.6640625" style="27" customWidth="1"/>
    <col min="7" max="8" width="13" style="28" customWidth="1"/>
    <col min="9" max="9" width="7.109375" style="27" customWidth="1"/>
    <col min="10" max="12" width="13" style="27" customWidth="1"/>
    <col min="13" max="13" width="9.88671875" style="27" bestFit="1" customWidth="1"/>
    <col min="14" max="14" width="8.88671875" style="28" customWidth="1"/>
    <col min="15" max="15" width="10.109375" style="28" customWidth="1"/>
    <col min="16" max="16" width="12" style="27" customWidth="1"/>
    <col min="17" max="17" width="12.44140625" style="27" hidden="1" customWidth="1" outlineLevel="1"/>
    <col min="18" max="20" width="10.21875" style="27" hidden="1" customWidth="1" outlineLevel="1"/>
    <col min="21" max="21" width="10.21875" style="27" customWidth="1" collapsed="1"/>
    <col min="22" max="22" width="27.6640625" style="27" bestFit="1" customWidth="1"/>
    <col min="23" max="16384" width="9.109375" style="26"/>
  </cols>
  <sheetData>
    <row r="1" spans="2:22" ht="8.25" customHeight="1" thickBot="1"/>
    <row r="2" spans="2:22" s="29" customFormat="1" ht="25.5" customHeight="1" thickBot="1">
      <c r="B2" s="30"/>
      <c r="C2" s="31"/>
      <c r="D2" s="31"/>
      <c r="E2" s="32" t="s">
        <v>119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3"/>
      <c r="V2" s="34"/>
    </row>
    <row r="3" spans="2:22" ht="44.25" customHeight="1">
      <c r="B3" s="35"/>
      <c r="C3" s="36"/>
      <c r="D3" s="36"/>
      <c r="E3" s="455" t="s">
        <v>138</v>
      </c>
      <c r="F3" s="455"/>
      <c r="G3" s="455"/>
      <c r="H3" s="455"/>
      <c r="I3" s="455"/>
      <c r="J3" s="455"/>
      <c r="K3" s="455"/>
      <c r="L3" s="455"/>
      <c r="M3" s="455"/>
      <c r="N3" s="455"/>
      <c r="O3" s="455"/>
      <c r="P3" s="455"/>
      <c r="U3" s="37"/>
    </row>
    <row r="4" spans="2:22" ht="9" customHeight="1" thickBot="1">
      <c r="B4" s="38"/>
      <c r="C4" s="39"/>
      <c r="D4" s="39"/>
      <c r="E4" s="39"/>
      <c r="F4" s="40"/>
      <c r="G4" s="40"/>
      <c r="H4" s="41"/>
      <c r="I4" s="40"/>
      <c r="J4" s="40"/>
      <c r="K4" s="40"/>
      <c r="L4" s="40"/>
      <c r="M4" s="40"/>
      <c r="N4" s="41"/>
      <c r="O4" s="41"/>
      <c r="P4" s="40"/>
      <c r="Q4" s="40"/>
      <c r="R4" s="40"/>
      <c r="S4" s="40"/>
      <c r="T4" s="40"/>
      <c r="U4" s="42"/>
      <c r="V4" s="40"/>
    </row>
    <row r="5" spans="2:22" s="29" customFormat="1" ht="22.5" customHeight="1" thickBot="1">
      <c r="B5" s="43"/>
      <c r="C5" s="44" t="s">
        <v>32</v>
      </c>
      <c r="D5" s="45"/>
      <c r="E5" s="46"/>
      <c r="F5" s="47"/>
      <c r="G5" s="48" t="s">
        <v>137</v>
      </c>
      <c r="H5" s="49"/>
      <c r="I5" s="50"/>
      <c r="J5" s="51"/>
      <c r="K5" s="52"/>
      <c r="L5" s="52"/>
      <c r="M5" s="53" t="s">
        <v>136</v>
      </c>
      <c r="N5" s="54"/>
      <c r="O5" s="54"/>
      <c r="P5" s="55"/>
      <c r="Q5" s="45" t="s">
        <v>33</v>
      </c>
      <c r="R5" s="45"/>
      <c r="S5" s="45"/>
      <c r="T5" s="45"/>
      <c r="U5" s="56"/>
      <c r="V5" s="50"/>
    </row>
    <row r="6" spans="2:22" ht="13.5" customHeight="1">
      <c r="B6" s="43"/>
      <c r="C6" s="57" t="s">
        <v>34</v>
      </c>
      <c r="D6" s="58"/>
      <c r="E6" s="59" t="s">
        <v>167</v>
      </c>
      <c r="F6" s="60"/>
      <c r="G6" s="61">
        <v>7</v>
      </c>
      <c r="H6" s="62" t="s">
        <v>35</v>
      </c>
      <c r="I6" s="40"/>
      <c r="J6" s="63" t="s">
        <v>142</v>
      </c>
      <c r="K6" s="64"/>
      <c r="L6" s="65"/>
      <c r="M6" s="66">
        <f>(G14*$G6/(R10+(0.00625*($G9-10))))/R6/R8*R9</f>
        <v>116.24889719238155</v>
      </c>
      <c r="N6" s="67" t="s">
        <v>37</v>
      </c>
      <c r="O6" s="68">
        <f>M6*G15*G16</f>
        <v>191229.43588146765</v>
      </c>
      <c r="P6" s="67" t="s">
        <v>130</v>
      </c>
      <c r="Q6" s="40"/>
      <c r="R6" s="40">
        <f>1+(0.05*G10)</f>
        <v>2</v>
      </c>
      <c r="S6" s="40"/>
      <c r="T6" s="40"/>
      <c r="U6" s="42"/>
      <c r="V6" s="69" t="s">
        <v>36</v>
      </c>
    </row>
    <row r="7" spans="2:22">
      <c r="B7" s="70"/>
      <c r="C7" s="71" t="s">
        <v>38</v>
      </c>
      <c r="D7" s="40"/>
      <c r="E7" s="72" t="s">
        <v>97</v>
      </c>
      <c r="F7" s="73"/>
      <c r="G7" s="74">
        <v>100</v>
      </c>
      <c r="H7" s="75" t="s">
        <v>39</v>
      </c>
      <c r="I7" s="40"/>
      <c r="J7" s="76"/>
      <c r="K7" s="26"/>
      <c r="L7" s="77"/>
      <c r="M7" s="78">
        <f>M6*G8/1000</f>
        <v>8.9511650838133783E-2</v>
      </c>
      <c r="N7" s="79" t="s">
        <v>40</v>
      </c>
      <c r="O7" s="80">
        <f>M7*G15*G16</f>
        <v>147.24666562873009</v>
      </c>
      <c r="P7" s="79" t="s">
        <v>131</v>
      </c>
      <c r="Q7" s="40"/>
      <c r="R7" s="40"/>
      <c r="S7" s="40"/>
      <c r="T7" s="40"/>
      <c r="U7" s="42"/>
      <c r="V7" s="81"/>
    </row>
    <row r="8" spans="2:22">
      <c r="B8" s="70"/>
      <c r="C8" s="57" t="s">
        <v>41</v>
      </c>
      <c r="D8" s="58"/>
      <c r="E8" s="72" t="s">
        <v>166</v>
      </c>
      <c r="F8" s="73"/>
      <c r="G8" s="74">
        <v>0.77</v>
      </c>
      <c r="H8" s="75" t="s">
        <v>42</v>
      </c>
      <c r="I8" s="40"/>
      <c r="J8" s="82"/>
      <c r="K8" s="26"/>
      <c r="L8" s="77"/>
      <c r="M8" s="83">
        <f>R12</f>
        <v>4.5323129286805292E-2</v>
      </c>
      <c r="N8" s="79" t="s">
        <v>43</v>
      </c>
      <c r="O8" s="83"/>
      <c r="P8" s="79"/>
      <c r="Q8" s="40"/>
      <c r="R8" s="84">
        <f>1+(3.25*G11^3)</f>
        <v>1.40625</v>
      </c>
      <c r="S8" s="40"/>
      <c r="T8" s="40"/>
      <c r="U8" s="42"/>
      <c r="V8" s="85"/>
    </row>
    <row r="9" spans="2:22">
      <c r="B9" s="70"/>
      <c r="C9" s="71" t="s">
        <v>44</v>
      </c>
      <c r="D9" s="40"/>
      <c r="E9" s="93" t="s">
        <v>98</v>
      </c>
      <c r="F9" s="73"/>
      <c r="G9" s="74">
        <v>120</v>
      </c>
      <c r="H9" s="94" t="s">
        <v>53</v>
      </c>
      <c r="I9" s="40"/>
      <c r="J9" s="86" t="s">
        <v>99</v>
      </c>
      <c r="K9" s="87"/>
      <c r="L9" s="88"/>
      <c r="M9" s="89">
        <f>G14</f>
        <v>50</v>
      </c>
      <c r="N9" s="90" t="s">
        <v>46</v>
      </c>
      <c r="O9" s="89"/>
      <c r="P9" s="90"/>
      <c r="Q9" s="40"/>
      <c r="R9" s="40">
        <f>G7/100</f>
        <v>1</v>
      </c>
      <c r="S9" s="40"/>
      <c r="T9" s="40"/>
      <c r="U9" s="42"/>
      <c r="V9" s="91" t="s">
        <v>45</v>
      </c>
    </row>
    <row r="10" spans="2:22">
      <c r="B10" s="70"/>
      <c r="C10" s="92" t="s">
        <v>47</v>
      </c>
      <c r="D10" s="40"/>
      <c r="E10" s="72" t="s">
        <v>135</v>
      </c>
      <c r="F10" s="73"/>
      <c r="G10" s="74">
        <v>20</v>
      </c>
      <c r="H10" s="94" t="s">
        <v>39</v>
      </c>
      <c r="I10" s="40"/>
      <c r="J10" s="95" t="s">
        <v>143</v>
      </c>
      <c r="K10" s="26"/>
      <c r="L10" s="77"/>
      <c r="M10" s="96"/>
      <c r="N10" s="79"/>
      <c r="O10" s="97"/>
      <c r="P10" s="77"/>
      <c r="Q10" s="40"/>
      <c r="R10" s="40">
        <f>0.316333+(0.066667*G12)</f>
        <v>0.38300000000000001</v>
      </c>
      <c r="S10" s="40"/>
      <c r="T10" s="40"/>
      <c r="U10" s="42"/>
      <c r="V10" s="98" t="s">
        <v>48</v>
      </c>
    </row>
    <row r="11" spans="2:22">
      <c r="B11" s="70"/>
      <c r="C11" s="99" t="s">
        <v>49</v>
      </c>
      <c r="D11" s="100"/>
      <c r="E11" s="230" t="s">
        <v>150</v>
      </c>
      <c r="F11" s="73"/>
      <c r="G11" s="106">
        <v>0.5</v>
      </c>
      <c r="H11" s="75"/>
      <c r="I11" s="40"/>
      <c r="J11" s="101" t="s">
        <v>116</v>
      </c>
      <c r="K11" s="102">
        <f>G7</f>
        <v>100</v>
      </c>
      <c r="L11" s="77" t="s">
        <v>117</v>
      </c>
      <c r="M11" s="103">
        <f>G6*G8/1000*G7/100</f>
        <v>5.3900000000000007E-3</v>
      </c>
      <c r="N11" s="79" t="s">
        <v>51</v>
      </c>
      <c r="O11" s="97"/>
      <c r="P11" s="77"/>
      <c r="Q11" s="40"/>
      <c r="R11" s="40">
        <f>(3.1+0.076*M11)*M12</f>
        <v>1.6711207959600002E-2</v>
      </c>
      <c r="S11" s="40"/>
      <c r="T11" s="40"/>
      <c r="U11" s="42"/>
      <c r="V11" s="91" t="s">
        <v>50</v>
      </c>
    </row>
    <row r="12" spans="2:22">
      <c r="B12" s="70"/>
      <c r="C12" s="104" t="s">
        <v>52</v>
      </c>
      <c r="D12" s="105"/>
      <c r="E12" s="230" t="s">
        <v>148</v>
      </c>
      <c r="F12" s="73"/>
      <c r="G12" s="74">
        <v>1</v>
      </c>
      <c r="H12" s="75"/>
      <c r="I12" s="40"/>
      <c r="J12" s="107" t="s">
        <v>116</v>
      </c>
      <c r="K12" s="108">
        <v>100</v>
      </c>
      <c r="L12" s="88" t="s">
        <v>117</v>
      </c>
      <c r="M12" s="109">
        <f>G6*G8/1000</f>
        <v>5.3900000000000007E-3</v>
      </c>
      <c r="N12" s="110" t="s">
        <v>51</v>
      </c>
      <c r="O12" s="111"/>
      <c r="P12" s="77"/>
      <c r="Q12" s="40" t="s">
        <v>54</v>
      </c>
      <c r="R12" s="112">
        <f>M7/M16</f>
        <v>4.5323129286805292E-2</v>
      </c>
      <c r="S12" s="40"/>
      <c r="T12" s="40"/>
      <c r="U12" s="42"/>
      <c r="V12" s="113" t="s">
        <v>50</v>
      </c>
    </row>
    <row r="13" spans="2:22">
      <c r="B13" s="70"/>
      <c r="C13" s="71" t="s">
        <v>55</v>
      </c>
      <c r="D13" s="40"/>
      <c r="E13" s="114" t="s">
        <v>180</v>
      </c>
      <c r="F13" s="73"/>
      <c r="G13" s="115">
        <v>4</v>
      </c>
      <c r="H13" s="94" t="s">
        <v>133</v>
      </c>
      <c r="I13" s="40"/>
      <c r="J13" s="95" t="s">
        <v>144</v>
      </c>
      <c r="K13" s="26"/>
      <c r="L13" s="77"/>
      <c r="M13" s="96">
        <f>60/((M6*(60/G14))/G6/R9)</f>
        <v>3.01078125</v>
      </c>
      <c r="N13" s="79" t="s">
        <v>57</v>
      </c>
      <c r="O13" s="97"/>
      <c r="P13" s="77"/>
      <c r="Q13" s="40" t="s">
        <v>58</v>
      </c>
      <c r="R13" s="40"/>
      <c r="S13" s="40"/>
      <c r="T13" s="112"/>
      <c r="U13" s="42"/>
      <c r="V13" s="98" t="s">
        <v>56</v>
      </c>
    </row>
    <row r="14" spans="2:22" ht="15" customHeight="1">
      <c r="B14" s="70"/>
      <c r="C14" s="116" t="s">
        <v>59</v>
      </c>
      <c r="D14" s="40"/>
      <c r="E14" s="72" t="s">
        <v>127</v>
      </c>
      <c r="F14" s="73"/>
      <c r="G14" s="74">
        <v>50</v>
      </c>
      <c r="H14" s="75" t="s">
        <v>68</v>
      </c>
      <c r="I14" s="40"/>
      <c r="J14" s="117"/>
      <c r="K14" s="87"/>
      <c r="L14" s="88"/>
      <c r="M14" s="118">
        <f>M13*60</f>
        <v>180.64687499999999</v>
      </c>
      <c r="N14" s="90" t="s">
        <v>60</v>
      </c>
      <c r="O14" s="97"/>
      <c r="P14" s="77"/>
      <c r="Q14" s="40" t="s">
        <v>61</v>
      </c>
      <c r="R14" s="112">
        <f>T$14+SQRT((G$9-10)/500)*((T$14*1.5+6)-T$14)</f>
        <v>2.8348797895126276</v>
      </c>
      <c r="S14" s="40" t="s">
        <v>62</v>
      </c>
      <c r="T14" s="112">
        <f>(3.1+0.076*M11)*M12</f>
        <v>1.6711207959600002E-2</v>
      </c>
      <c r="U14" s="42"/>
      <c r="V14" s="119"/>
    </row>
    <row r="15" spans="2:22" ht="13.05" customHeight="1">
      <c r="B15" s="43"/>
      <c r="C15" s="120" t="s">
        <v>63</v>
      </c>
      <c r="D15" s="100"/>
      <c r="E15" s="72" t="s">
        <v>128</v>
      </c>
      <c r="F15" s="73"/>
      <c r="G15" s="74">
        <v>7</v>
      </c>
      <c r="H15" s="75" t="s">
        <v>125</v>
      </c>
      <c r="I15" s="40"/>
      <c r="J15" s="95" t="s">
        <v>145</v>
      </c>
      <c r="K15" s="26"/>
      <c r="L15" s="77"/>
      <c r="M15" s="26"/>
      <c r="N15" s="77"/>
      <c r="O15" s="26"/>
      <c r="P15" s="77"/>
      <c r="Q15" s="40" t="s">
        <v>132</v>
      </c>
      <c r="R15" s="121">
        <v>0.2</v>
      </c>
      <c r="S15" s="122"/>
      <c r="T15" s="40"/>
      <c r="U15" s="42"/>
      <c r="V15" s="98" t="s">
        <v>64</v>
      </c>
    </row>
    <row r="16" spans="2:22" ht="17.399999999999999" thickBot="1">
      <c r="B16" s="70"/>
      <c r="C16" s="104" t="s">
        <v>65</v>
      </c>
      <c r="D16" s="105"/>
      <c r="E16" s="123" t="s">
        <v>129</v>
      </c>
      <c r="F16" s="124"/>
      <c r="G16" s="125">
        <v>235</v>
      </c>
      <c r="H16" s="126" t="s">
        <v>126</v>
      </c>
      <c r="I16" s="127"/>
      <c r="J16" s="128" t="s">
        <v>118</v>
      </c>
      <c r="K16" s="129"/>
      <c r="L16" s="130"/>
      <c r="M16" s="131">
        <f>IF(G13=4,R14/60*G14*(1-(G11*0.1))*(1+(G10/200))*(1-R15),IF(G13=5,R14/60*G14*(1-(G11*0.1))*(1+(G10/200))*(1-R15)*(1-R16),"correct gear #"))</f>
        <v>1.9749662533604644</v>
      </c>
      <c r="N16" s="132" t="s">
        <v>67</v>
      </c>
      <c r="O16" s="133"/>
      <c r="P16" s="134"/>
      <c r="Q16" s="40" t="s">
        <v>134</v>
      </c>
      <c r="R16" s="121">
        <v>0.2</v>
      </c>
      <c r="S16" s="40"/>
      <c r="T16" s="40"/>
      <c r="U16" s="42"/>
      <c r="V16" s="135" t="s">
        <v>66</v>
      </c>
    </row>
    <row r="17" spans="2:22" ht="17.399999999999999" thickBot="1">
      <c r="B17" s="136"/>
      <c r="C17" s="137"/>
      <c r="D17" s="137"/>
      <c r="E17" s="137"/>
      <c r="F17" s="137"/>
      <c r="G17" s="138"/>
      <c r="H17" s="138"/>
      <c r="I17" s="137"/>
      <c r="J17" s="137"/>
      <c r="K17" s="137"/>
      <c r="L17" s="137"/>
      <c r="M17" s="137"/>
      <c r="N17" s="138"/>
      <c r="O17" s="138"/>
      <c r="P17" s="137"/>
      <c r="Q17" s="137"/>
      <c r="R17" s="137"/>
      <c r="S17" s="137"/>
      <c r="T17" s="137"/>
      <c r="U17" s="139"/>
      <c r="V17" s="40"/>
    </row>
    <row r="18" spans="2:22" ht="17.399999999999999" thickBot="1"/>
    <row r="19" spans="2:22" ht="17.399999999999999" thickBot="1">
      <c r="E19" s="140" t="s">
        <v>139</v>
      </c>
      <c r="F19" s="141"/>
      <c r="G19" s="142"/>
      <c r="H19" s="142"/>
      <c r="I19" s="141"/>
      <c r="J19" s="141"/>
      <c r="K19" s="141"/>
      <c r="L19" s="143"/>
    </row>
    <row r="20" spans="2:22" ht="17.399999999999999" thickBot="1"/>
    <row r="21" spans="2:22" ht="18.600000000000001" thickBot="1">
      <c r="C21" s="144" t="s">
        <v>69</v>
      </c>
      <c r="D21" s="145"/>
      <c r="E21" s="144" t="s">
        <v>149</v>
      </c>
      <c r="F21" s="145"/>
      <c r="G21" s="145"/>
      <c r="H21" s="145"/>
      <c r="I21" s="145"/>
      <c r="J21" s="145"/>
      <c r="K21" s="145"/>
      <c r="L21" s="146"/>
    </row>
    <row r="22" spans="2:22">
      <c r="C22" s="147" t="s">
        <v>70</v>
      </c>
      <c r="D22" s="148" t="s">
        <v>71</v>
      </c>
      <c r="E22" s="147" t="s">
        <v>100</v>
      </c>
      <c r="F22" s="148"/>
      <c r="G22" s="148"/>
      <c r="H22" s="148"/>
      <c r="I22" s="148"/>
      <c r="J22" s="148"/>
      <c r="K22" s="148"/>
      <c r="L22" s="149"/>
    </row>
    <row r="23" spans="2:22">
      <c r="C23" s="147" t="s">
        <v>72</v>
      </c>
      <c r="D23" s="148" t="s">
        <v>73</v>
      </c>
      <c r="E23" s="147" t="s">
        <v>101</v>
      </c>
      <c r="F23" s="148"/>
      <c r="G23" s="148"/>
      <c r="H23" s="148"/>
      <c r="I23" s="148"/>
      <c r="J23" s="148"/>
      <c r="K23" s="148"/>
      <c r="L23" s="149"/>
    </row>
    <row r="24" spans="2:22">
      <c r="C24" s="147" t="s">
        <v>74</v>
      </c>
      <c r="D24" s="148" t="s">
        <v>75</v>
      </c>
      <c r="E24" s="147" t="s">
        <v>102</v>
      </c>
      <c r="F24" s="148"/>
      <c r="G24" s="148"/>
      <c r="H24" s="148"/>
      <c r="I24" s="148"/>
      <c r="J24" s="148"/>
      <c r="K24" s="148"/>
      <c r="L24" s="149"/>
    </row>
    <row r="25" spans="2:22">
      <c r="C25" s="147" t="s">
        <v>76</v>
      </c>
      <c r="D25" s="148" t="s">
        <v>77</v>
      </c>
      <c r="E25" s="147" t="s">
        <v>103</v>
      </c>
      <c r="F25" s="148"/>
      <c r="G25" s="148"/>
      <c r="H25" s="148"/>
      <c r="I25" s="148"/>
      <c r="J25" s="148"/>
      <c r="K25" s="148"/>
      <c r="L25" s="149"/>
    </row>
    <row r="26" spans="2:22" ht="17.399999999999999" thickBot="1">
      <c r="C26" s="150" t="s">
        <v>78</v>
      </c>
      <c r="D26" s="151" t="s">
        <v>79</v>
      </c>
      <c r="E26" s="150" t="s">
        <v>104</v>
      </c>
      <c r="F26" s="151"/>
      <c r="G26" s="151"/>
      <c r="H26" s="151"/>
      <c r="I26" s="151"/>
      <c r="J26" s="151"/>
      <c r="K26" s="151"/>
      <c r="L26" s="152"/>
    </row>
    <row r="27" spans="2:22" ht="18.600000000000001" thickBot="1">
      <c r="C27" s="153"/>
      <c r="G27" s="27"/>
      <c r="H27" s="27"/>
    </row>
    <row r="28" spans="2:22" ht="18.600000000000001" thickBot="1">
      <c r="C28" s="144" t="s">
        <v>80</v>
      </c>
      <c r="D28" s="145"/>
      <c r="E28" s="154" t="s">
        <v>185</v>
      </c>
      <c r="F28" s="145"/>
      <c r="G28" s="145"/>
      <c r="H28" s="145"/>
      <c r="I28" s="145"/>
      <c r="J28" s="145"/>
      <c r="K28" s="145"/>
      <c r="L28" s="146"/>
    </row>
    <row r="29" spans="2:22" ht="17.399999999999999" thickBot="1">
      <c r="C29" s="155"/>
      <c r="E29" s="156"/>
      <c r="G29" s="27"/>
      <c r="H29" s="27"/>
      <c r="L29" s="37"/>
    </row>
    <row r="30" spans="2:22">
      <c r="C30" s="156"/>
      <c r="D30" s="158" t="s">
        <v>81</v>
      </c>
      <c r="E30" s="159" t="s">
        <v>113</v>
      </c>
      <c r="F30" s="160" t="s">
        <v>107</v>
      </c>
      <c r="G30" s="161"/>
      <c r="H30" s="162"/>
      <c r="L30" s="163"/>
    </row>
    <row r="31" spans="2:22">
      <c r="C31" s="156"/>
      <c r="D31" s="147"/>
      <c r="E31" s="164"/>
      <c r="F31" s="165" t="s">
        <v>39</v>
      </c>
      <c r="G31" s="166"/>
      <c r="H31" s="167"/>
      <c r="L31" s="37"/>
    </row>
    <row r="32" spans="2:22">
      <c r="C32" s="156"/>
      <c r="D32" s="168" t="s">
        <v>82</v>
      </c>
      <c r="E32" s="169" t="s">
        <v>108</v>
      </c>
      <c r="F32" s="170" t="s">
        <v>83</v>
      </c>
      <c r="G32" s="171"/>
      <c r="H32" s="172"/>
      <c r="L32" s="37"/>
    </row>
    <row r="33" spans="3:22">
      <c r="C33" s="156"/>
      <c r="D33" s="168" t="s">
        <v>84</v>
      </c>
      <c r="E33" s="169" t="s">
        <v>109</v>
      </c>
      <c r="F33" s="170" t="s">
        <v>85</v>
      </c>
      <c r="G33" s="171"/>
      <c r="H33" s="172"/>
      <c r="L33" s="37"/>
    </row>
    <row r="34" spans="3:22">
      <c r="C34" s="156"/>
      <c r="D34" s="168" t="s">
        <v>86</v>
      </c>
      <c r="E34" s="169" t="s">
        <v>110</v>
      </c>
      <c r="F34" s="170" t="s">
        <v>87</v>
      </c>
      <c r="G34" s="171"/>
      <c r="H34" s="172"/>
      <c r="L34" s="37"/>
    </row>
    <row r="35" spans="3:22">
      <c r="C35" s="156"/>
      <c r="D35" s="168" t="s">
        <v>88</v>
      </c>
      <c r="E35" s="169" t="s">
        <v>111</v>
      </c>
      <c r="F35" s="170" t="s">
        <v>87</v>
      </c>
      <c r="G35" s="171"/>
      <c r="H35" s="172"/>
      <c r="L35" s="37"/>
    </row>
    <row r="36" spans="3:22" ht="17.399999999999999" thickBot="1">
      <c r="C36" s="156"/>
      <c r="D36" s="173" t="s">
        <v>89</v>
      </c>
      <c r="E36" s="174" t="s">
        <v>112</v>
      </c>
      <c r="F36" s="175" t="s">
        <v>90</v>
      </c>
      <c r="G36" s="176"/>
      <c r="H36" s="177"/>
      <c r="L36" s="37"/>
    </row>
    <row r="37" spans="3:22">
      <c r="C37" s="155"/>
      <c r="D37" s="157" t="s">
        <v>105</v>
      </c>
      <c r="E37" s="240" t="s">
        <v>106</v>
      </c>
      <c r="G37" s="27"/>
      <c r="H37" s="27"/>
      <c r="L37" s="37"/>
    </row>
    <row r="38" spans="3:22" ht="12.75" customHeight="1" thickBot="1">
      <c r="C38" s="150"/>
      <c r="D38" s="178" t="s">
        <v>91</v>
      </c>
      <c r="E38" s="179"/>
      <c r="F38" s="151"/>
      <c r="G38" s="151"/>
      <c r="H38" s="151"/>
      <c r="I38" s="151"/>
      <c r="J38" s="151"/>
      <c r="K38" s="151"/>
      <c r="L38" s="152"/>
    </row>
    <row r="39" spans="3:22" ht="17.399999999999999" thickBot="1">
      <c r="C39" s="180"/>
      <c r="G39" s="27"/>
      <c r="H39" s="27"/>
    </row>
    <row r="40" spans="3:22" ht="18.600000000000001" thickBot="1">
      <c r="C40" s="144" t="s">
        <v>63</v>
      </c>
      <c r="D40" s="145"/>
      <c r="E40" s="238" t="s">
        <v>168</v>
      </c>
      <c r="F40" s="145"/>
      <c r="G40" s="145"/>
      <c r="H40" s="145"/>
      <c r="I40" s="145"/>
      <c r="J40" s="145"/>
      <c r="K40" s="145"/>
      <c r="L40" s="146"/>
      <c r="P40" s="28"/>
      <c r="Q40" s="28"/>
      <c r="R40" s="28"/>
      <c r="S40" s="28"/>
      <c r="T40" s="28"/>
      <c r="U40" s="28"/>
      <c r="V40" s="28"/>
    </row>
    <row r="41" spans="3:22" ht="18.600000000000001" thickBot="1">
      <c r="C41" s="235"/>
      <c r="D41" s="236"/>
      <c r="E41" s="156"/>
      <c r="F41" s="237" t="s">
        <v>157</v>
      </c>
      <c r="G41" s="27"/>
      <c r="H41" s="27"/>
      <c r="I41" s="237"/>
      <c r="L41" s="37"/>
      <c r="P41" s="28"/>
      <c r="Q41" s="28"/>
      <c r="R41" s="28"/>
      <c r="S41" s="28"/>
      <c r="T41" s="28"/>
      <c r="U41" s="28"/>
      <c r="V41" s="28"/>
    </row>
    <row r="42" spans="3:22">
      <c r="C42" s="156"/>
      <c r="E42" s="231">
        <v>0</v>
      </c>
      <c r="F42" s="232" t="s">
        <v>152</v>
      </c>
      <c r="G42" s="232"/>
      <c r="H42" s="232"/>
      <c r="I42" s="232"/>
      <c r="J42" s="232"/>
      <c r="K42" s="232"/>
      <c r="L42" s="233"/>
      <c r="P42" s="28"/>
      <c r="Q42" s="28"/>
      <c r="R42" s="28"/>
      <c r="S42" s="28"/>
      <c r="T42" s="28"/>
      <c r="U42" s="28"/>
      <c r="V42" s="28"/>
    </row>
    <row r="43" spans="3:22">
      <c r="C43" s="156"/>
      <c r="E43" s="156">
        <v>0.2</v>
      </c>
      <c r="F43" s="27" t="s">
        <v>151</v>
      </c>
      <c r="G43" s="27"/>
      <c r="H43" s="27"/>
      <c r="L43" s="37"/>
      <c r="P43" s="28"/>
      <c r="Q43" s="28"/>
      <c r="R43" s="28"/>
      <c r="S43" s="28"/>
      <c r="T43" s="28"/>
      <c r="U43" s="28"/>
      <c r="V43" s="28"/>
    </row>
    <row r="44" spans="3:22">
      <c r="C44" s="181" t="s">
        <v>92</v>
      </c>
      <c r="D44" s="182"/>
      <c r="E44" s="156">
        <v>0.4</v>
      </c>
      <c r="F44" s="27" t="s">
        <v>156</v>
      </c>
      <c r="G44" s="27"/>
      <c r="H44" s="27"/>
      <c r="L44" s="37"/>
      <c r="P44" s="28"/>
      <c r="Q44" s="28"/>
      <c r="R44" s="28"/>
      <c r="S44" s="28"/>
      <c r="T44" s="28"/>
      <c r="U44" s="28"/>
      <c r="V44" s="28"/>
    </row>
    <row r="45" spans="3:22">
      <c r="C45" s="183"/>
      <c r="D45" s="184"/>
      <c r="E45" s="156">
        <v>0.6</v>
      </c>
      <c r="F45" s="27" t="s">
        <v>155</v>
      </c>
      <c r="G45" s="27"/>
      <c r="H45" s="27"/>
      <c r="L45" s="37"/>
      <c r="P45" s="28"/>
      <c r="Q45" s="28"/>
      <c r="R45" s="28"/>
      <c r="S45" s="28"/>
      <c r="T45" s="28"/>
      <c r="U45" s="28"/>
      <c r="V45" s="28"/>
    </row>
    <row r="46" spans="3:22">
      <c r="C46" s="185"/>
      <c r="D46" s="186"/>
      <c r="E46" s="156">
        <v>0.8</v>
      </c>
      <c r="F46" s="27" t="s">
        <v>154</v>
      </c>
      <c r="G46" s="27"/>
      <c r="H46" s="27"/>
      <c r="L46" s="37"/>
      <c r="P46" s="28"/>
      <c r="Q46" s="28"/>
      <c r="R46" s="28"/>
      <c r="S46" s="28"/>
      <c r="T46" s="28"/>
      <c r="U46" s="28"/>
      <c r="V46" s="28"/>
    </row>
    <row r="47" spans="3:22" ht="17.399999999999999" thickBot="1">
      <c r="C47" s="156" t="s">
        <v>140</v>
      </c>
      <c r="E47" s="234">
        <v>1</v>
      </c>
      <c r="F47" s="151" t="s">
        <v>153</v>
      </c>
      <c r="G47" s="151"/>
      <c r="H47" s="151"/>
      <c r="I47" s="151"/>
      <c r="J47" s="151"/>
      <c r="K47" s="151"/>
      <c r="L47" s="152"/>
      <c r="P47" s="28"/>
      <c r="Q47" s="28"/>
      <c r="R47" s="28"/>
      <c r="S47" s="28"/>
      <c r="T47" s="28"/>
      <c r="U47" s="28"/>
      <c r="V47" s="28"/>
    </row>
    <row r="48" spans="3:22" ht="17.399999999999999" thickBot="1">
      <c r="C48" s="187" t="s">
        <v>93</v>
      </c>
      <c r="E48" s="156"/>
      <c r="F48" s="237" t="s">
        <v>158</v>
      </c>
      <c r="G48" s="27"/>
      <c r="H48" s="27"/>
      <c r="L48" s="37"/>
      <c r="P48" s="28"/>
      <c r="Q48" s="28"/>
      <c r="R48" s="28"/>
      <c r="S48" s="28"/>
      <c r="T48" s="28"/>
      <c r="U48" s="28"/>
      <c r="V48" s="28"/>
    </row>
    <row r="49" spans="3:22">
      <c r="C49" s="147"/>
      <c r="D49" s="148"/>
      <c r="E49" s="231">
        <v>0</v>
      </c>
      <c r="F49" s="232" t="s">
        <v>159</v>
      </c>
      <c r="G49" s="232"/>
      <c r="H49" s="232"/>
      <c r="I49" s="232"/>
      <c r="J49" s="232"/>
      <c r="K49" s="232"/>
      <c r="L49" s="233"/>
      <c r="P49" s="28"/>
      <c r="Q49" s="28"/>
      <c r="R49" s="28"/>
      <c r="S49" s="28"/>
      <c r="T49" s="28"/>
      <c r="U49" s="28"/>
      <c r="V49" s="28"/>
    </row>
    <row r="50" spans="3:22" ht="18">
      <c r="C50" s="188" t="s">
        <v>141</v>
      </c>
      <c r="D50" s="189"/>
      <c r="E50" s="156">
        <v>0.2</v>
      </c>
      <c r="F50" s="27" t="s">
        <v>160</v>
      </c>
      <c r="G50" s="27"/>
      <c r="H50" s="27"/>
      <c r="L50" s="37"/>
      <c r="P50" s="28"/>
      <c r="Q50" s="28"/>
      <c r="R50" s="28"/>
      <c r="S50" s="28"/>
      <c r="T50" s="28"/>
      <c r="U50" s="28"/>
      <c r="V50" s="28"/>
    </row>
    <row r="51" spans="3:22">
      <c r="C51" s="187" t="s">
        <v>93</v>
      </c>
      <c r="E51" s="156">
        <v>0.4</v>
      </c>
      <c r="F51" s="27" t="s">
        <v>161</v>
      </c>
      <c r="G51" s="27"/>
      <c r="H51" s="27"/>
      <c r="L51" s="37"/>
      <c r="P51" s="28"/>
      <c r="Q51" s="28"/>
      <c r="R51" s="28"/>
      <c r="S51" s="28"/>
      <c r="T51" s="28"/>
      <c r="U51" s="28"/>
      <c r="V51" s="28"/>
    </row>
    <row r="52" spans="3:22" ht="17.399999999999999" thickBot="1">
      <c r="C52" s="150"/>
      <c r="D52" s="151"/>
      <c r="E52" s="156">
        <v>0.6</v>
      </c>
      <c r="F52" s="27" t="s">
        <v>162</v>
      </c>
      <c r="G52" s="27"/>
      <c r="H52" s="27"/>
      <c r="L52" s="37"/>
      <c r="P52" s="28"/>
      <c r="Q52" s="28"/>
      <c r="R52" s="28"/>
      <c r="S52" s="28"/>
      <c r="T52" s="28"/>
      <c r="U52" s="28"/>
      <c r="V52" s="28"/>
    </row>
    <row r="53" spans="3:22">
      <c r="E53" s="156">
        <v>0.8</v>
      </c>
      <c r="F53" s="27" t="s">
        <v>163</v>
      </c>
      <c r="G53" s="27"/>
      <c r="H53" s="27"/>
      <c r="L53" s="37"/>
      <c r="P53" s="28"/>
      <c r="Q53" s="28"/>
      <c r="R53" s="28"/>
      <c r="S53" s="28"/>
      <c r="T53" s="28"/>
      <c r="U53" s="28"/>
      <c r="V53" s="28"/>
    </row>
    <row r="54" spans="3:22" ht="17.399999999999999" thickBot="1">
      <c r="E54" s="234">
        <v>1</v>
      </c>
      <c r="F54" s="151" t="s">
        <v>164</v>
      </c>
      <c r="G54" s="151"/>
      <c r="H54" s="151"/>
      <c r="I54" s="151"/>
      <c r="J54" s="151"/>
      <c r="K54" s="151"/>
      <c r="L54" s="152"/>
      <c r="P54" s="28"/>
      <c r="Q54" s="28"/>
      <c r="R54" s="28"/>
      <c r="S54" s="28"/>
      <c r="T54" s="28"/>
      <c r="U54" s="28"/>
      <c r="V54" s="28"/>
    </row>
    <row r="55" spans="3:22" ht="17.399999999999999" thickBot="1">
      <c r="G55" s="27"/>
      <c r="H55" s="27"/>
    </row>
    <row r="56" spans="3:22" ht="18.600000000000001" thickBot="1">
      <c r="C56" s="144" t="s">
        <v>55</v>
      </c>
      <c r="D56" s="190"/>
      <c r="E56" s="144" t="s">
        <v>165</v>
      </c>
      <c r="F56" s="190"/>
      <c r="G56" s="190"/>
      <c r="H56" s="190"/>
      <c r="I56" s="190"/>
      <c r="J56" s="190"/>
      <c r="K56" s="190"/>
      <c r="L56" s="191"/>
    </row>
    <row r="57" spans="3:22">
      <c r="C57" s="156" t="s">
        <v>94</v>
      </c>
      <c r="E57" s="192" t="s">
        <v>115</v>
      </c>
      <c r="G57" s="27"/>
      <c r="H57" s="27"/>
      <c r="L57" s="37"/>
    </row>
    <row r="58" spans="3:22">
      <c r="C58" s="156"/>
      <c r="E58" s="156"/>
      <c r="G58" s="27"/>
      <c r="H58" s="27"/>
      <c r="L58" s="37"/>
    </row>
    <row r="59" spans="3:22">
      <c r="C59" s="156"/>
      <c r="E59" s="156"/>
      <c r="G59" s="27"/>
      <c r="H59" s="27"/>
      <c r="L59" s="37"/>
    </row>
    <row r="60" spans="3:22">
      <c r="E60" s="156"/>
      <c r="G60" s="27"/>
      <c r="H60" s="27"/>
      <c r="L60" s="37"/>
    </row>
    <row r="61" spans="3:22">
      <c r="C61" s="156"/>
      <c r="E61" s="156"/>
      <c r="G61" s="27"/>
      <c r="H61" s="27"/>
      <c r="L61" s="37"/>
    </row>
    <row r="62" spans="3:22">
      <c r="C62" s="156"/>
      <c r="E62" s="156"/>
      <c r="G62" s="27"/>
      <c r="H62" s="27"/>
      <c r="L62" s="37"/>
    </row>
    <row r="63" spans="3:22">
      <c r="C63" s="156"/>
      <c r="E63" s="156"/>
      <c r="G63" s="27"/>
      <c r="H63" s="27"/>
      <c r="L63" s="37"/>
    </row>
    <row r="64" spans="3:22">
      <c r="C64" s="156" t="s">
        <v>95</v>
      </c>
      <c r="E64" s="192" t="s">
        <v>114</v>
      </c>
      <c r="F64" s="27" t="s">
        <v>96</v>
      </c>
      <c r="G64" s="27"/>
      <c r="H64" s="27"/>
      <c r="L64" s="37"/>
    </row>
    <row r="65" spans="3:12">
      <c r="C65" s="156"/>
      <c r="E65" s="156"/>
      <c r="G65" s="27"/>
      <c r="H65" s="27"/>
      <c r="L65" s="37"/>
    </row>
    <row r="66" spans="3:12">
      <c r="C66" s="156"/>
      <c r="E66" s="156"/>
      <c r="G66" s="27"/>
      <c r="H66" s="27"/>
      <c r="L66" s="37"/>
    </row>
    <row r="67" spans="3:12">
      <c r="C67" s="156"/>
      <c r="E67" s="156"/>
      <c r="G67" s="27"/>
      <c r="H67" s="27"/>
      <c r="L67" s="37"/>
    </row>
    <row r="68" spans="3:12">
      <c r="C68" s="156"/>
      <c r="E68" s="156"/>
      <c r="G68" s="27"/>
      <c r="H68" s="27"/>
      <c r="L68" s="37"/>
    </row>
    <row r="69" spans="3:12">
      <c r="C69" s="156"/>
      <c r="E69" s="156"/>
      <c r="G69" s="27"/>
      <c r="H69" s="27"/>
      <c r="L69" s="37"/>
    </row>
    <row r="70" spans="3:12">
      <c r="C70" s="156"/>
      <c r="E70" s="156"/>
      <c r="G70" s="27"/>
      <c r="H70" s="27"/>
      <c r="L70" s="37"/>
    </row>
    <row r="71" spans="3:12" ht="17.399999999999999" thickBot="1">
      <c r="C71" s="150"/>
      <c r="D71" s="151"/>
      <c r="E71" s="150"/>
      <c r="F71" s="151"/>
      <c r="G71" s="151"/>
      <c r="H71" s="151"/>
      <c r="I71" s="151"/>
      <c r="J71" s="151"/>
      <c r="K71" s="151"/>
      <c r="L71" s="152"/>
    </row>
  </sheetData>
  <mergeCells count="1">
    <mergeCell ref="E3:P3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horizontalDpi="300" r:id="rId1"/>
  <headerFooter alignWithMargins="0">
    <oddHeader xml:space="preserve">&amp;L&amp;"Calibri"&amp;10&amp;K000000 General Business&amp;1#_x000D_&amp;C </oddHeader>
    <oddFooter>&amp;L&amp;"Arial,Gras"&amp;9Volvo Construction Equipment Europe SAS&amp;C &amp;9&amp;F -  Edité le &amp;D&amp;R&amp;9Marketing Produit GPPE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SPECIAL BUCKET CHOICE</vt:lpstr>
      <vt:lpstr>PRODUCTIVITY CALCULATOR</vt:lpstr>
      <vt:lpstr>Material data table</vt:lpstr>
      <vt:lpstr>PRODUCTIVITY CALCULATOR (2014)</vt:lpstr>
      <vt:lpstr>'PRODUCTIVITY CALCULATOR'!Print_Area</vt:lpstr>
      <vt:lpstr>'PRODUCTIVITY CALCULATOR (2014)'!Print_Area</vt:lpstr>
      <vt:lpstr>'SPECIAL BUCKET CHOICE'!Print_Area</vt:lpstr>
    </vt:vector>
  </TitlesOfParts>
  <Company>Fiat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NANTEUIL Alain</dc:creator>
  <cp:lastModifiedBy>MUCI Francesco (CNH)</cp:lastModifiedBy>
  <dcterms:created xsi:type="dcterms:W3CDTF">2013-05-24T14:45:08Z</dcterms:created>
  <dcterms:modified xsi:type="dcterms:W3CDTF">2026-04-01T16:40:07Z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2024-07-16T13:22:27Z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1590d028-b021-4e69-b4f7-60ddb6973534</vt:lpwstr>
  </property>
  <property fmtid="{D5CDD505-2E9C-101B-9397-08002B2CF9AE}" pid="8" name="MSIP_Label_7feb0fb4-c8a5-4461-a7eb-fddbf6a063ea_ContentBits">
    <vt:lpwstr>1</vt:lpwstr>
  </property>
</Properties>
</file>