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357" documentId="11_F25DC773A252ABDACC10482CE1D9707A5ADE58F7" xr6:coauthVersionLast="47" xr6:coauthVersionMax="47" xr10:uidLastSave="{9D3430A9-09CF-4E6F-A1CE-69A880AB25B7}"/>
  <bookViews>
    <workbookView xWindow="-110" yWindow="-110" windowWidth="19420" windowHeight="11500" xr2:uid="{00000000-000D-0000-FFFF-FFFF00000000}"/>
  </bookViews>
  <sheets>
    <sheet name="521G 521G+ data " sheetId="1" r:id="rId1"/>
    <sheet name="Sheet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J2" i="1"/>
  <c r="C4" i="3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2" i="1"/>
  <c r="P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2" i="1"/>
  <c r="M2" i="1" s="1"/>
</calcChain>
</file>

<file path=xl/sharedStrings.xml><?xml version="1.0" encoding="utf-8"?>
<sst xmlns="http://schemas.openxmlformats.org/spreadsheetml/2006/main" count="290" uniqueCount="101">
  <si>
    <t>GET</t>
  </si>
  <si>
    <t>Linkage</t>
  </si>
  <si>
    <t>REHANDLING BKT</t>
  </si>
  <si>
    <t>BOCE</t>
  </si>
  <si>
    <t>ZB</t>
  </si>
  <si>
    <t>Pin ON</t>
  </si>
  <si>
    <t>XR</t>
  </si>
  <si>
    <t>LIGHT MATERIAL</t>
  </si>
  <si>
    <t>QC</t>
  </si>
  <si>
    <t>XT</t>
  </si>
  <si>
    <t>521G/521G+</t>
  </si>
  <si>
    <t>Model</t>
  </si>
  <si>
    <t>Bucket</t>
  </si>
  <si>
    <t>Loader_Arm</t>
  </si>
  <si>
    <t>Capacity</t>
  </si>
  <si>
    <t>SNo</t>
  </si>
  <si>
    <t>Max_Mat_Density
(kg/m3)</t>
  </si>
  <si>
    <t>Tipping_Load_Straight
(kg)</t>
  </si>
  <si>
    <t>Tipping_Load_40Turn
(kg)</t>
  </si>
  <si>
    <t>GRAPPLE BUCKET</t>
  </si>
  <si>
    <t>Bucket --&gt;</t>
  </si>
  <si>
    <t>SAE bucket capacity - Heaped</t>
  </si>
  <si>
    <t>H. Dump height - fully raised, 45° dump - Regular
H. Dump height - fully raised, Max° dump - HI-DUMP</t>
  </si>
  <si>
    <t>Straight</t>
  </si>
  <si>
    <t>40 turn</t>
  </si>
  <si>
    <t>Maximum material density - ISO Rigid Tires</t>
  </si>
  <si>
    <t>1.90 cu m (2.49 cu yd) BUCKET W/BOLT-ON EDGE - with LEONARDI Coupler</t>
  </si>
  <si>
    <t xml:space="preserve">1.90 cu m </t>
  </si>
  <si>
    <t xml:space="preserve">2503 mm </t>
  </si>
  <si>
    <t xml:space="preserve">9011 kg </t>
  </si>
  <si>
    <t xml:space="preserve">7763 kg </t>
  </si>
  <si>
    <t xml:space="preserve">2043 kg/cu m </t>
  </si>
  <si>
    <t>2.00 cu m (2.62 cu yd) BUCKET W/BOLT-ON EDGE - with LEONARDI Coupler</t>
  </si>
  <si>
    <t xml:space="preserve">2.00 cu m </t>
  </si>
  <si>
    <t xml:space="preserve">9055 kg </t>
  </si>
  <si>
    <t xml:space="preserve">7797 kg </t>
  </si>
  <si>
    <t xml:space="preserve">1950 kg/cu m </t>
  </si>
  <si>
    <t xml:space="preserve">2883 mm </t>
  </si>
  <si>
    <t xml:space="preserve">7721 kg </t>
  </si>
  <si>
    <t xml:space="preserve">6614 kg </t>
  </si>
  <si>
    <t xml:space="preserve">1741 kg/cu m </t>
  </si>
  <si>
    <t xml:space="preserve">7750 kg </t>
  </si>
  <si>
    <t xml:space="preserve">6636 kg </t>
  </si>
  <si>
    <t xml:space="preserve">1659 kg/cu m </t>
  </si>
  <si>
    <t xml:space="preserve">2494 mm </t>
  </si>
  <si>
    <t xml:space="preserve">7478 kg </t>
  </si>
  <si>
    <t xml:space="preserve">6432 kg </t>
  </si>
  <si>
    <t xml:space="preserve">1693 kg/cu m </t>
  </si>
  <si>
    <t xml:space="preserve">7485 kg </t>
  </si>
  <si>
    <t xml:space="preserve">6435 kg </t>
  </si>
  <si>
    <t xml:space="preserve">1609 kg/cu m </t>
  </si>
  <si>
    <t>Grouping --&gt;</t>
  </si>
  <si>
    <t>3.00 cu m (3.92 cu yd)</t>
  </si>
  <si>
    <t>BUCKET: 3.0 m ( yd) Blade, HI-DUMP (1 Cyl) - Pin On - 2500mm Wide</t>
  </si>
  <si>
    <t>4063 mm (160.0") @ 43°</t>
  </si>
  <si>
    <t>7482 kg (16495 lb)</t>
  </si>
  <si>
    <t>6475 kg (14276 lb)</t>
  </si>
  <si>
    <t>1079 kg/cu m (1819 lb/cu yd)</t>
  </si>
  <si>
    <t>BUCKET: 3.0 m ( yd) Blade, HI-DUMP (2 Cyl) - Pin On - 2500mm Wide</t>
  </si>
  <si>
    <t>4076 mm (160.5") @ 43°</t>
  </si>
  <si>
    <t>7239 kg (15960 lb)</t>
  </si>
  <si>
    <t>6233 kg (13742 lb)</t>
  </si>
  <si>
    <t>1039 kg/cu m (1751 lb/cu yd)</t>
  </si>
  <si>
    <t>3.50 cu m (4.58 cu yd)</t>
  </si>
  <si>
    <t>BUCKET: 3.5 m ( yd) Blade, HI-DUMP (1 Cyl) - Pin On - 2500mm Wide</t>
  </si>
  <si>
    <t>4048 mm (159.4") @ 41°</t>
  </si>
  <si>
    <t>7288 kg (16066 lb)</t>
  </si>
  <si>
    <t>6287 kg (13861 lb)</t>
  </si>
  <si>
    <t>898 kg/cu m (1514 lb/cu yd)</t>
  </si>
  <si>
    <t>HIGH TIP BUCKET</t>
  </si>
  <si>
    <t>4463 mm (175.7") @ 42°</t>
  </si>
  <si>
    <t>6331 kg (13957 lb)</t>
  </si>
  <si>
    <t>5438 kg (11989 lb)</t>
  </si>
  <si>
    <t>906 kg/cu m (1528 lb/cu yd)</t>
  </si>
  <si>
    <t>4476 mm (176.2") @ 42°</t>
  </si>
  <si>
    <t>6088 kg (13421 lb)</t>
  </si>
  <si>
    <t>5195 kg (11452 lb)</t>
  </si>
  <si>
    <t>866 kg/cu m (1459 lb/cu yd)</t>
  </si>
  <si>
    <t>4449 mm (175.2") @ 40°</t>
  </si>
  <si>
    <t>6152 kg (13563 lb)</t>
  </si>
  <si>
    <t>5264 kg (11604 lb)</t>
  </si>
  <si>
    <t>752 kg/cu m (1267 lb/cu yd)</t>
  </si>
  <si>
    <t>3977 mm (156.6")</t>
  </si>
  <si>
    <t>6504 kg (14338 lb)</t>
  </si>
  <si>
    <t>5614 kg (12378 lb)</t>
  </si>
  <si>
    <t>936 kg/cu m (1577 lb/cu yd)</t>
  </si>
  <si>
    <t>4059 mm (159.8")</t>
  </si>
  <si>
    <t>6264 kg (13810 lb)</t>
  </si>
  <si>
    <t>5375 kg (11850 lb)</t>
  </si>
  <si>
    <t>896 kg/cu m (1510 lb/cu yd)</t>
  </si>
  <si>
    <t>4271 mm (168.1") @ 43°</t>
  </si>
  <si>
    <t>6706 kg (14784 lb)</t>
  </si>
  <si>
    <t>5781 kg (12745 lb)</t>
  </si>
  <si>
    <t>826 kg/cu m (1392 lb/cu yd)</t>
  </si>
  <si>
    <t>Max_Mat_Density
(ton/m3)</t>
  </si>
  <si>
    <t>Tipping_Load_Straight
(ton)</t>
  </si>
  <si>
    <t>Tipping_Load_40Turn
(ton)</t>
  </si>
  <si>
    <t>Max_Mat_Density</t>
  </si>
  <si>
    <t>Tipping_Load_Straight</t>
  </si>
  <si>
    <t>Tipping_Load_40Turn</t>
  </si>
  <si>
    <t>Max_Dump_Height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</si>
</sst>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4" fillId="3" borderId="0" xfId="0" applyFont="1" applyFill="1"/>
    <xf numFmtId="0" fontId="5" fillId="4" borderId="0" xfId="0" applyFont="1" applyFill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R1" sqref="R1:R1048576"/>
    </sheetView>
  </sheetViews>
  <sheetFormatPr defaultColWidth="8.81640625" defaultRowHeight="14.5" x14ac:dyDescent="0.35"/>
  <cols>
    <col min="1" max="1" width="8.81640625" style="1"/>
    <col min="2" max="2" width="17.81640625" style="1" customWidth="1"/>
    <col min="3" max="3" width="24.453125" style="1" customWidth="1"/>
    <col min="4" max="4" width="10.6328125" style="1" bestFit="1" customWidth="1"/>
    <col min="5" max="5" width="8" style="1" customWidth="1"/>
    <col min="6" max="6" width="11.54296875" style="1" bestFit="1" customWidth="1"/>
    <col min="7" max="7" width="9.08984375" style="1" bestFit="1" customWidth="1"/>
    <col min="8" max="9" width="19.08984375" style="1" hidden="1" customWidth="1"/>
    <col min="10" max="10" width="19.08984375" style="1" customWidth="1"/>
    <col min="11" max="12" width="23.54296875" style="1" hidden="1" customWidth="1"/>
    <col min="13" max="13" width="23.54296875" style="1" customWidth="1"/>
    <col min="14" max="15" width="22.36328125" style="1" hidden="1" customWidth="1"/>
    <col min="16" max="16" width="22.36328125" style="1" customWidth="1"/>
    <col min="17" max="17" width="19.453125" style="1" customWidth="1"/>
    <col min="18" max="16384" width="8.81640625" style="1"/>
  </cols>
  <sheetData>
    <row r="1" spans="1:17" ht="28" x14ac:dyDescent="0.35">
      <c r="A1" s="5" t="s">
        <v>15</v>
      </c>
      <c r="B1" s="5" t="s">
        <v>11</v>
      </c>
      <c r="C1" s="5" t="s">
        <v>12</v>
      </c>
      <c r="D1" s="5" t="s">
        <v>14</v>
      </c>
      <c r="E1" s="5" t="s">
        <v>0</v>
      </c>
      <c r="F1" s="5" t="s">
        <v>13</v>
      </c>
      <c r="G1" s="5" t="s">
        <v>1</v>
      </c>
      <c r="H1" s="5" t="s">
        <v>16</v>
      </c>
      <c r="I1" s="5" t="s">
        <v>94</v>
      </c>
      <c r="J1" s="5" t="s">
        <v>97</v>
      </c>
      <c r="K1" s="5" t="s">
        <v>17</v>
      </c>
      <c r="L1" s="5" t="s">
        <v>95</v>
      </c>
      <c r="M1" s="5" t="s">
        <v>98</v>
      </c>
      <c r="N1" s="5" t="s">
        <v>18</v>
      </c>
      <c r="O1" s="5" t="s">
        <v>96</v>
      </c>
      <c r="P1" s="5" t="s">
        <v>99</v>
      </c>
      <c r="Q1" s="5" t="s">
        <v>100</v>
      </c>
    </row>
    <row r="2" spans="1:17" x14ac:dyDescent="0.35">
      <c r="A2" s="6">
        <v>1</v>
      </c>
      <c r="B2" s="7" t="s">
        <v>10</v>
      </c>
      <c r="C2" s="7" t="s">
        <v>2</v>
      </c>
      <c r="D2" s="8">
        <v>1.9</v>
      </c>
      <c r="E2" s="6" t="s">
        <v>3</v>
      </c>
      <c r="F2" s="6" t="s">
        <v>4</v>
      </c>
      <c r="G2" s="6" t="s">
        <v>5</v>
      </c>
      <c r="H2" s="6">
        <v>1995</v>
      </c>
      <c r="I2" s="11">
        <v>1.9950000000000001</v>
      </c>
      <c r="J2" s="9">
        <f>ROUND(I2,2)</f>
        <v>2</v>
      </c>
      <c r="K2" s="6">
        <v>8666</v>
      </c>
      <c r="L2" s="11">
        <f>+K2/1000</f>
        <v>8.6660000000000004</v>
      </c>
      <c r="M2" s="9">
        <f>+ROUND(L2,2)</f>
        <v>8.67</v>
      </c>
      <c r="N2" s="6">
        <v>7595</v>
      </c>
      <c r="O2" s="10">
        <f>+N2/1000</f>
        <v>7.5949999999999998</v>
      </c>
      <c r="P2" s="9">
        <f>+ROUND(O2,2)</f>
        <v>7.6</v>
      </c>
      <c r="Q2" s="12">
        <v>2.5099999999999998</v>
      </c>
    </row>
    <row r="3" spans="1:17" x14ac:dyDescent="0.35">
      <c r="A3" s="6">
        <v>2</v>
      </c>
      <c r="B3" s="7" t="s">
        <v>10</v>
      </c>
      <c r="C3" s="7" t="s">
        <v>2</v>
      </c>
      <c r="D3" s="8">
        <v>2.1</v>
      </c>
      <c r="E3" s="6" t="s">
        <v>3</v>
      </c>
      <c r="F3" s="6" t="s">
        <v>4</v>
      </c>
      <c r="G3" s="6" t="s">
        <v>5</v>
      </c>
      <c r="H3" s="6">
        <v>1791</v>
      </c>
      <c r="I3" s="11">
        <v>1.7909999999999999</v>
      </c>
      <c r="J3" s="9">
        <f>ROUND(I3,2)</f>
        <v>1.79</v>
      </c>
      <c r="K3" s="6">
        <v>8592</v>
      </c>
      <c r="L3" s="11">
        <f t="shared" ref="L3:L31" si="0">+K3/1000</f>
        <v>8.5920000000000005</v>
      </c>
      <c r="M3" s="9">
        <f t="shared" ref="M3:M31" si="1">+ROUND(L3,2)</f>
        <v>8.59</v>
      </c>
      <c r="N3" s="6">
        <v>7529</v>
      </c>
      <c r="O3" s="10">
        <f t="shared" ref="O3:O31" si="2">+N3/1000</f>
        <v>7.5289999999999999</v>
      </c>
      <c r="P3" s="9">
        <f t="shared" ref="P3:P31" si="3">+ROUND(O3,2)</f>
        <v>7.53</v>
      </c>
      <c r="Q3" s="12">
        <v>2.5099999999999998</v>
      </c>
    </row>
    <row r="4" spans="1:17" x14ac:dyDescent="0.35">
      <c r="A4" s="6">
        <v>3</v>
      </c>
      <c r="B4" s="7" t="s">
        <v>10</v>
      </c>
      <c r="C4" s="7" t="s">
        <v>2</v>
      </c>
      <c r="D4" s="8">
        <v>1.9</v>
      </c>
      <c r="E4" s="6" t="s">
        <v>3</v>
      </c>
      <c r="F4" s="6" t="s">
        <v>6</v>
      </c>
      <c r="G4" s="6" t="s">
        <v>5</v>
      </c>
      <c r="H4" s="6">
        <v>1694</v>
      </c>
      <c r="I4" s="11">
        <v>1.694</v>
      </c>
      <c r="J4" s="9">
        <f t="shared" ref="J4:J31" si="4">ROUND(I4,2)</f>
        <v>1.69</v>
      </c>
      <c r="K4" s="6">
        <v>7391</v>
      </c>
      <c r="L4" s="11">
        <f t="shared" si="0"/>
        <v>7.391</v>
      </c>
      <c r="M4" s="9">
        <f t="shared" si="1"/>
        <v>7.39</v>
      </c>
      <c r="N4" s="6">
        <v>6447</v>
      </c>
      <c r="O4" s="10">
        <f t="shared" si="2"/>
        <v>6.4470000000000001</v>
      </c>
      <c r="P4" s="9">
        <f t="shared" si="3"/>
        <v>6.45</v>
      </c>
      <c r="Q4" s="12">
        <v>2.89</v>
      </c>
    </row>
    <row r="5" spans="1:17" x14ac:dyDescent="0.35">
      <c r="A5" s="6">
        <v>4</v>
      </c>
      <c r="B5" s="7" t="s">
        <v>10</v>
      </c>
      <c r="C5" s="7" t="s">
        <v>2</v>
      </c>
      <c r="D5" s="8">
        <v>2.1</v>
      </c>
      <c r="E5" s="6" t="s">
        <v>3</v>
      </c>
      <c r="F5" s="6" t="s">
        <v>6</v>
      </c>
      <c r="G5" s="6" t="s">
        <v>5</v>
      </c>
      <c r="H5" s="6">
        <v>1521</v>
      </c>
      <c r="I5" s="11">
        <v>1.5209999999999999</v>
      </c>
      <c r="J5" s="9">
        <f t="shared" si="4"/>
        <v>1.52</v>
      </c>
      <c r="K5" s="6">
        <v>7333</v>
      </c>
      <c r="L5" s="11">
        <f t="shared" si="0"/>
        <v>7.3330000000000002</v>
      </c>
      <c r="M5" s="9">
        <f t="shared" si="1"/>
        <v>7.33</v>
      </c>
      <c r="N5" s="6">
        <v>6396</v>
      </c>
      <c r="O5" s="10">
        <f t="shared" si="2"/>
        <v>6.3959999999999999</v>
      </c>
      <c r="P5" s="9">
        <f t="shared" si="3"/>
        <v>6.4</v>
      </c>
      <c r="Q5" s="12">
        <v>2.89</v>
      </c>
    </row>
    <row r="6" spans="1:17" x14ac:dyDescent="0.35">
      <c r="A6" s="6">
        <v>5</v>
      </c>
      <c r="B6" s="7" t="s">
        <v>10</v>
      </c>
      <c r="C6" s="7" t="s">
        <v>2</v>
      </c>
      <c r="D6" s="8">
        <v>1.9</v>
      </c>
      <c r="E6" s="6" t="s">
        <v>3</v>
      </c>
      <c r="F6" s="6" t="s">
        <v>4</v>
      </c>
      <c r="G6" s="6" t="s">
        <v>8</v>
      </c>
      <c r="H6" s="6">
        <v>2043</v>
      </c>
      <c r="I6" s="11">
        <v>2.0430000000000001</v>
      </c>
      <c r="J6" s="9">
        <f t="shared" si="4"/>
        <v>2.04</v>
      </c>
      <c r="K6" s="6">
        <v>9011</v>
      </c>
      <c r="L6" s="11">
        <f t="shared" si="0"/>
        <v>9.0109999999999992</v>
      </c>
      <c r="M6" s="9">
        <f t="shared" si="1"/>
        <v>9.01</v>
      </c>
      <c r="N6" s="6">
        <v>7763</v>
      </c>
      <c r="O6" s="10">
        <f t="shared" si="2"/>
        <v>7.7629999999999999</v>
      </c>
      <c r="P6" s="9">
        <f t="shared" si="3"/>
        <v>7.76</v>
      </c>
      <c r="Q6" s="12">
        <v>2.5529999999999999</v>
      </c>
    </row>
    <row r="7" spans="1:17" x14ac:dyDescent="0.35">
      <c r="A7" s="6">
        <v>6</v>
      </c>
      <c r="B7" s="7" t="s">
        <v>10</v>
      </c>
      <c r="C7" s="7" t="s">
        <v>2</v>
      </c>
      <c r="D7" s="8">
        <v>2</v>
      </c>
      <c r="E7" s="6" t="s">
        <v>3</v>
      </c>
      <c r="F7" s="6" t="s">
        <v>4</v>
      </c>
      <c r="G7" s="6" t="s">
        <v>8</v>
      </c>
      <c r="H7" s="6">
        <v>1950</v>
      </c>
      <c r="I7" s="11">
        <v>1.95</v>
      </c>
      <c r="J7" s="9">
        <f t="shared" si="4"/>
        <v>1.95</v>
      </c>
      <c r="K7" s="6">
        <v>9055</v>
      </c>
      <c r="L7" s="11">
        <f t="shared" si="0"/>
        <v>9.0549999999999997</v>
      </c>
      <c r="M7" s="9">
        <f t="shared" si="1"/>
        <v>9.06</v>
      </c>
      <c r="N7" s="6">
        <v>7797</v>
      </c>
      <c r="O7" s="10">
        <f t="shared" si="2"/>
        <v>7.7969999999999997</v>
      </c>
      <c r="P7" s="9">
        <f t="shared" si="3"/>
        <v>7.8</v>
      </c>
      <c r="Q7" s="12">
        <v>2.5529999999999999</v>
      </c>
    </row>
    <row r="8" spans="1:17" x14ac:dyDescent="0.35">
      <c r="A8" s="6">
        <v>7</v>
      </c>
      <c r="B8" s="7" t="s">
        <v>10</v>
      </c>
      <c r="C8" s="7" t="s">
        <v>2</v>
      </c>
      <c r="D8" s="8">
        <v>1.9</v>
      </c>
      <c r="E8" s="6" t="s">
        <v>3</v>
      </c>
      <c r="F8" s="6" t="s">
        <v>6</v>
      </c>
      <c r="G8" s="6" t="s">
        <v>8</v>
      </c>
      <c r="H8" s="6">
        <v>1741</v>
      </c>
      <c r="I8" s="11">
        <v>1.7410000000000001</v>
      </c>
      <c r="J8" s="9">
        <f t="shared" si="4"/>
        <v>1.74</v>
      </c>
      <c r="K8" s="6">
        <v>7721</v>
      </c>
      <c r="L8" s="11">
        <f t="shared" si="0"/>
        <v>7.7210000000000001</v>
      </c>
      <c r="M8" s="9">
        <f t="shared" si="1"/>
        <v>7.72</v>
      </c>
      <c r="N8" s="6">
        <v>6614</v>
      </c>
      <c r="O8" s="10">
        <f t="shared" si="2"/>
        <v>6.6139999999999999</v>
      </c>
      <c r="P8" s="9">
        <f t="shared" si="3"/>
        <v>6.61</v>
      </c>
      <c r="Q8" s="12">
        <v>2.883</v>
      </c>
    </row>
    <row r="9" spans="1:17" x14ac:dyDescent="0.35">
      <c r="A9" s="6">
        <v>8</v>
      </c>
      <c r="B9" s="7" t="s">
        <v>10</v>
      </c>
      <c r="C9" s="7" t="s">
        <v>2</v>
      </c>
      <c r="D9" s="8">
        <v>2</v>
      </c>
      <c r="E9" s="6" t="s">
        <v>3</v>
      </c>
      <c r="F9" s="6" t="s">
        <v>6</v>
      </c>
      <c r="G9" s="6" t="s">
        <v>8</v>
      </c>
      <c r="H9" s="6">
        <v>1659</v>
      </c>
      <c r="I9" s="11">
        <v>1.659</v>
      </c>
      <c r="J9" s="9">
        <f t="shared" si="4"/>
        <v>1.66</v>
      </c>
      <c r="K9" s="6">
        <v>7750</v>
      </c>
      <c r="L9" s="11">
        <f t="shared" si="0"/>
        <v>7.75</v>
      </c>
      <c r="M9" s="9">
        <f t="shared" si="1"/>
        <v>7.75</v>
      </c>
      <c r="N9" s="6">
        <v>6636</v>
      </c>
      <c r="O9" s="10">
        <f t="shared" si="2"/>
        <v>6.6360000000000001</v>
      </c>
      <c r="P9" s="9">
        <f t="shared" si="3"/>
        <v>6.64</v>
      </c>
      <c r="Q9" s="12">
        <v>2.883</v>
      </c>
    </row>
    <row r="10" spans="1:17" x14ac:dyDescent="0.35">
      <c r="A10" s="6">
        <v>9</v>
      </c>
      <c r="B10" s="7" t="s">
        <v>10</v>
      </c>
      <c r="C10" s="7" t="s">
        <v>2</v>
      </c>
      <c r="D10" s="8">
        <v>1.9</v>
      </c>
      <c r="E10" s="6" t="s">
        <v>3</v>
      </c>
      <c r="F10" s="6" t="s">
        <v>9</v>
      </c>
      <c r="G10" s="6" t="s">
        <v>8</v>
      </c>
      <c r="H10" s="6">
        <v>1693</v>
      </c>
      <c r="I10" s="11">
        <v>1.6930000000000001</v>
      </c>
      <c r="J10" s="9">
        <f t="shared" si="4"/>
        <v>1.69</v>
      </c>
      <c r="K10" s="6">
        <v>7478</v>
      </c>
      <c r="L10" s="11">
        <f t="shared" si="0"/>
        <v>7.4779999999999998</v>
      </c>
      <c r="M10" s="9">
        <f t="shared" si="1"/>
        <v>7.48</v>
      </c>
      <c r="N10" s="6">
        <v>6432</v>
      </c>
      <c r="O10" s="10">
        <f t="shared" si="2"/>
        <v>6.4320000000000004</v>
      </c>
      <c r="P10" s="9">
        <f t="shared" si="3"/>
        <v>6.43</v>
      </c>
      <c r="Q10" s="12">
        <v>2.4940000000000002</v>
      </c>
    </row>
    <row r="11" spans="1:17" x14ac:dyDescent="0.35">
      <c r="A11" s="6">
        <v>10</v>
      </c>
      <c r="B11" s="7" t="s">
        <v>10</v>
      </c>
      <c r="C11" s="7" t="s">
        <v>2</v>
      </c>
      <c r="D11" s="8">
        <v>2</v>
      </c>
      <c r="E11" s="6" t="s">
        <v>3</v>
      </c>
      <c r="F11" s="6" t="s">
        <v>9</v>
      </c>
      <c r="G11" s="6" t="s">
        <v>8</v>
      </c>
      <c r="H11" s="6">
        <v>1609</v>
      </c>
      <c r="I11" s="11">
        <v>1.609</v>
      </c>
      <c r="J11" s="9">
        <f t="shared" si="4"/>
        <v>1.61</v>
      </c>
      <c r="K11" s="6">
        <v>7485</v>
      </c>
      <c r="L11" s="11">
        <f t="shared" si="0"/>
        <v>7.4850000000000003</v>
      </c>
      <c r="M11" s="9">
        <f t="shared" si="1"/>
        <v>7.49</v>
      </c>
      <c r="N11" s="6">
        <v>6435</v>
      </c>
      <c r="O11" s="10">
        <f t="shared" si="2"/>
        <v>6.4349999999999996</v>
      </c>
      <c r="P11" s="9">
        <f t="shared" si="3"/>
        <v>6.44</v>
      </c>
      <c r="Q11" s="12">
        <v>2.4940000000000002</v>
      </c>
    </row>
    <row r="12" spans="1:17" x14ac:dyDescent="0.35">
      <c r="A12" s="6">
        <v>11</v>
      </c>
      <c r="B12" s="7" t="s">
        <v>10</v>
      </c>
      <c r="C12" s="7" t="s">
        <v>7</v>
      </c>
      <c r="D12" s="8">
        <v>3.5</v>
      </c>
      <c r="E12" s="6" t="s">
        <v>3</v>
      </c>
      <c r="F12" s="6" t="s">
        <v>4</v>
      </c>
      <c r="G12" s="6" t="s">
        <v>5</v>
      </c>
      <c r="H12" s="6">
        <v>1082</v>
      </c>
      <c r="I12" s="11">
        <v>1.0820000000000001</v>
      </c>
      <c r="J12" s="9">
        <f t="shared" si="4"/>
        <v>1.08</v>
      </c>
      <c r="K12" s="6">
        <v>8669</v>
      </c>
      <c r="L12" s="11">
        <f t="shared" si="0"/>
        <v>8.6690000000000005</v>
      </c>
      <c r="M12" s="9">
        <f t="shared" si="1"/>
        <v>8.67</v>
      </c>
      <c r="N12" s="6">
        <v>7572</v>
      </c>
      <c r="O12" s="10">
        <f t="shared" si="2"/>
        <v>7.5720000000000001</v>
      </c>
      <c r="P12" s="9">
        <f t="shared" si="3"/>
        <v>7.57</v>
      </c>
      <c r="Q12" s="12">
        <v>2.41</v>
      </c>
    </row>
    <row r="13" spans="1:17" x14ac:dyDescent="0.35">
      <c r="A13" s="6">
        <v>12</v>
      </c>
      <c r="B13" s="7" t="s">
        <v>10</v>
      </c>
      <c r="C13" s="7" t="s">
        <v>7</v>
      </c>
      <c r="D13" s="8">
        <v>3.5</v>
      </c>
      <c r="E13" s="6" t="s">
        <v>3</v>
      </c>
      <c r="F13" s="6" t="s">
        <v>4</v>
      </c>
      <c r="G13" s="6" t="s">
        <v>8</v>
      </c>
      <c r="H13" s="6">
        <v>1012</v>
      </c>
      <c r="I13" s="11">
        <v>1.012</v>
      </c>
      <c r="J13" s="9">
        <f t="shared" si="4"/>
        <v>1.01</v>
      </c>
      <c r="K13" s="6">
        <v>8178</v>
      </c>
      <c r="L13" s="11">
        <f t="shared" si="0"/>
        <v>8.1780000000000008</v>
      </c>
      <c r="M13" s="9">
        <f t="shared" si="1"/>
        <v>8.18</v>
      </c>
      <c r="N13" s="6">
        <v>7086</v>
      </c>
      <c r="O13" s="10">
        <f t="shared" si="2"/>
        <v>7.0860000000000003</v>
      </c>
      <c r="P13" s="9">
        <f t="shared" si="3"/>
        <v>7.09</v>
      </c>
      <c r="Q13" s="12">
        <v>2.2799999999999998</v>
      </c>
    </row>
    <row r="14" spans="1:17" x14ac:dyDescent="0.35">
      <c r="A14" s="6">
        <v>13</v>
      </c>
      <c r="B14" s="7" t="s">
        <v>10</v>
      </c>
      <c r="C14" s="7" t="s">
        <v>7</v>
      </c>
      <c r="D14" s="8">
        <v>4</v>
      </c>
      <c r="E14" s="6" t="s">
        <v>3</v>
      </c>
      <c r="F14" s="6" t="s">
        <v>4</v>
      </c>
      <c r="G14" s="6" t="s">
        <v>5</v>
      </c>
      <c r="H14" s="6">
        <v>886</v>
      </c>
      <c r="I14" s="11">
        <v>0.88600000000000001</v>
      </c>
      <c r="J14" s="9">
        <f t="shared" si="4"/>
        <v>0.89</v>
      </c>
      <c r="K14" s="6">
        <v>8129</v>
      </c>
      <c r="L14" s="11">
        <f t="shared" si="0"/>
        <v>8.1289999999999996</v>
      </c>
      <c r="M14" s="9">
        <f t="shared" si="1"/>
        <v>8.1300000000000008</v>
      </c>
      <c r="N14" s="6">
        <v>7086</v>
      </c>
      <c r="O14" s="10">
        <f t="shared" si="2"/>
        <v>7.0860000000000003</v>
      </c>
      <c r="P14" s="9">
        <f t="shared" si="3"/>
        <v>7.09</v>
      </c>
      <c r="Q14" s="12">
        <v>2.202</v>
      </c>
    </row>
    <row r="15" spans="1:17" x14ac:dyDescent="0.35">
      <c r="A15" s="6">
        <v>14</v>
      </c>
      <c r="B15" s="7" t="s">
        <v>10</v>
      </c>
      <c r="C15" s="7" t="s">
        <v>7</v>
      </c>
      <c r="D15" s="8">
        <v>4.5</v>
      </c>
      <c r="E15" s="6" t="s">
        <v>3</v>
      </c>
      <c r="F15" s="6" t="s">
        <v>4</v>
      </c>
      <c r="G15" s="6" t="s">
        <v>5</v>
      </c>
      <c r="H15" s="6">
        <v>758</v>
      </c>
      <c r="I15" s="11">
        <v>0.75800000000000001</v>
      </c>
      <c r="J15" s="9">
        <f t="shared" si="4"/>
        <v>0.76</v>
      </c>
      <c r="K15" s="6">
        <v>7839</v>
      </c>
      <c r="L15" s="11">
        <f t="shared" si="0"/>
        <v>7.8390000000000004</v>
      </c>
      <c r="M15" s="9">
        <f t="shared" si="1"/>
        <v>7.84</v>
      </c>
      <c r="N15" s="6">
        <v>6821</v>
      </c>
      <c r="O15" s="10">
        <f t="shared" si="2"/>
        <v>6.8209999999999997</v>
      </c>
      <c r="P15" s="9">
        <f t="shared" si="3"/>
        <v>6.82</v>
      </c>
      <c r="Q15" s="12">
        <v>2.202</v>
      </c>
    </row>
    <row r="16" spans="1:17" x14ac:dyDescent="0.35">
      <c r="A16" s="6">
        <v>15</v>
      </c>
      <c r="B16" s="7" t="s">
        <v>10</v>
      </c>
      <c r="C16" s="7" t="s">
        <v>7</v>
      </c>
      <c r="D16" s="8">
        <v>3.5</v>
      </c>
      <c r="E16" s="6" t="s">
        <v>3</v>
      </c>
      <c r="F16" s="6" t="s">
        <v>6</v>
      </c>
      <c r="G16" s="6" t="s">
        <v>5</v>
      </c>
      <c r="H16" s="6">
        <v>910</v>
      </c>
      <c r="I16" s="11">
        <v>0.91</v>
      </c>
      <c r="J16" s="9">
        <f t="shared" si="4"/>
        <v>0.91</v>
      </c>
      <c r="K16" s="6">
        <v>7330</v>
      </c>
      <c r="L16" s="11">
        <f t="shared" si="0"/>
        <v>7.33</v>
      </c>
      <c r="M16" s="9">
        <f t="shared" si="1"/>
        <v>7.33</v>
      </c>
      <c r="N16" s="6">
        <v>6366</v>
      </c>
      <c r="O16" s="10">
        <f t="shared" si="2"/>
        <v>6.3659999999999997</v>
      </c>
      <c r="P16" s="9">
        <f t="shared" si="3"/>
        <v>6.37</v>
      </c>
      <c r="Q16" s="12">
        <v>2.7890000000000001</v>
      </c>
    </row>
    <row r="17" spans="1:17" x14ac:dyDescent="0.35">
      <c r="A17" s="6">
        <v>16</v>
      </c>
      <c r="B17" s="7" t="s">
        <v>10</v>
      </c>
      <c r="C17" s="7" t="s">
        <v>7</v>
      </c>
      <c r="D17" s="8">
        <v>3.5</v>
      </c>
      <c r="E17" s="6" t="s">
        <v>3</v>
      </c>
      <c r="F17" s="6" t="s">
        <v>6</v>
      </c>
      <c r="G17" s="6" t="s">
        <v>8</v>
      </c>
      <c r="H17" s="6">
        <v>844</v>
      </c>
      <c r="I17" s="11">
        <v>0.84399999999999997</v>
      </c>
      <c r="J17" s="9">
        <f t="shared" si="4"/>
        <v>0.84</v>
      </c>
      <c r="K17" s="6">
        <v>6869</v>
      </c>
      <c r="L17" s="11">
        <f t="shared" si="0"/>
        <v>6.8689999999999998</v>
      </c>
      <c r="M17" s="9">
        <f t="shared" si="1"/>
        <v>6.87</v>
      </c>
      <c r="N17" s="6">
        <v>5910</v>
      </c>
      <c r="O17" s="10">
        <f t="shared" si="2"/>
        <v>5.91</v>
      </c>
      <c r="P17" s="9">
        <f t="shared" si="3"/>
        <v>5.91</v>
      </c>
      <c r="Q17" s="12">
        <v>2.66</v>
      </c>
    </row>
    <row r="18" spans="1:17" x14ac:dyDescent="0.35">
      <c r="A18" s="6">
        <v>17</v>
      </c>
      <c r="B18" s="7" t="s">
        <v>10</v>
      </c>
      <c r="C18" s="7" t="s">
        <v>7</v>
      </c>
      <c r="D18" s="8">
        <v>4</v>
      </c>
      <c r="E18" s="6" t="s">
        <v>3</v>
      </c>
      <c r="F18" s="6" t="s">
        <v>6</v>
      </c>
      <c r="G18" s="6" t="s">
        <v>5</v>
      </c>
      <c r="H18" s="6">
        <v>748</v>
      </c>
      <c r="I18" s="11">
        <v>0.748</v>
      </c>
      <c r="J18" s="9">
        <f t="shared" si="4"/>
        <v>0.75</v>
      </c>
      <c r="K18" s="6">
        <v>6904</v>
      </c>
      <c r="L18" s="11">
        <f t="shared" si="0"/>
        <v>6.9039999999999999</v>
      </c>
      <c r="M18" s="9">
        <f t="shared" si="1"/>
        <v>6.9</v>
      </c>
      <c r="N18" s="6">
        <v>5982</v>
      </c>
      <c r="O18" s="10">
        <f t="shared" si="2"/>
        <v>5.9820000000000002</v>
      </c>
      <c r="P18" s="9">
        <f t="shared" si="3"/>
        <v>5.98</v>
      </c>
      <c r="Q18" s="12">
        <v>2.5819999999999999</v>
      </c>
    </row>
    <row r="19" spans="1:17" x14ac:dyDescent="0.35">
      <c r="A19" s="6">
        <v>18</v>
      </c>
      <c r="B19" s="7" t="s">
        <v>10</v>
      </c>
      <c r="C19" s="7" t="s">
        <v>7</v>
      </c>
      <c r="D19" s="8">
        <v>4.5</v>
      </c>
      <c r="E19" s="6" t="s">
        <v>3</v>
      </c>
      <c r="F19" s="6" t="s">
        <v>6</v>
      </c>
      <c r="G19" s="6" t="s">
        <v>5</v>
      </c>
      <c r="H19" s="6">
        <v>641</v>
      </c>
      <c r="I19" s="11">
        <v>0.64100000000000001</v>
      </c>
      <c r="J19" s="9">
        <f t="shared" si="4"/>
        <v>0.64</v>
      </c>
      <c r="K19" s="6">
        <v>6667</v>
      </c>
      <c r="L19" s="11">
        <f t="shared" si="0"/>
        <v>6.6669999999999998</v>
      </c>
      <c r="M19" s="9">
        <f t="shared" si="1"/>
        <v>6.67</v>
      </c>
      <c r="N19" s="6">
        <v>5765</v>
      </c>
      <c r="O19" s="10">
        <f t="shared" si="2"/>
        <v>5.7649999999999997</v>
      </c>
      <c r="P19" s="9">
        <f t="shared" si="3"/>
        <v>5.77</v>
      </c>
      <c r="Q19" s="12">
        <v>2.5819999999999999</v>
      </c>
    </row>
    <row r="20" spans="1:17" x14ac:dyDescent="0.35">
      <c r="A20" s="6">
        <v>19</v>
      </c>
      <c r="B20" s="7" t="s">
        <v>10</v>
      </c>
      <c r="C20" s="7" t="s">
        <v>7</v>
      </c>
      <c r="D20" s="8">
        <v>3.5</v>
      </c>
      <c r="E20" s="6" t="s">
        <v>3</v>
      </c>
      <c r="F20" s="6" t="s">
        <v>9</v>
      </c>
      <c r="G20" s="6" t="s">
        <v>8</v>
      </c>
      <c r="H20" s="6">
        <v>790</v>
      </c>
      <c r="I20" s="11">
        <v>0.79</v>
      </c>
      <c r="J20" s="9">
        <f t="shared" si="4"/>
        <v>0.79</v>
      </c>
      <c r="K20" s="6">
        <v>6388</v>
      </c>
      <c r="L20" s="11">
        <f t="shared" si="0"/>
        <v>6.3879999999999999</v>
      </c>
      <c r="M20" s="9">
        <f t="shared" si="1"/>
        <v>6.39</v>
      </c>
      <c r="N20" s="6">
        <v>5529</v>
      </c>
      <c r="O20" s="10">
        <f t="shared" si="2"/>
        <v>5.5289999999999999</v>
      </c>
      <c r="P20" s="9">
        <f t="shared" si="3"/>
        <v>5.53</v>
      </c>
      <c r="Q20" s="12">
        <v>2.2250000000000001</v>
      </c>
    </row>
    <row r="21" spans="1:17" x14ac:dyDescent="0.35">
      <c r="A21" s="6">
        <v>20</v>
      </c>
      <c r="B21" s="7" t="s">
        <v>10</v>
      </c>
      <c r="C21" s="7" t="s">
        <v>19</v>
      </c>
      <c r="D21" s="8">
        <v>2.8</v>
      </c>
      <c r="E21" s="6" t="s">
        <v>3</v>
      </c>
      <c r="F21" s="6" t="s">
        <v>4</v>
      </c>
      <c r="G21" s="6" t="s">
        <v>5</v>
      </c>
      <c r="H21" s="6">
        <v>1285</v>
      </c>
      <c r="I21" s="11">
        <v>1.2849999999999999</v>
      </c>
      <c r="J21" s="9">
        <f t="shared" si="4"/>
        <v>1.29</v>
      </c>
      <c r="K21" s="6">
        <v>8283</v>
      </c>
      <c r="L21" s="11">
        <f t="shared" si="0"/>
        <v>8.2829999999999995</v>
      </c>
      <c r="M21" s="9">
        <f t="shared" si="1"/>
        <v>8.2799999999999994</v>
      </c>
      <c r="N21" s="6">
        <v>7197</v>
      </c>
      <c r="O21" s="10">
        <f t="shared" si="2"/>
        <v>7.1970000000000001</v>
      </c>
      <c r="P21" s="9">
        <f t="shared" si="3"/>
        <v>7.2</v>
      </c>
      <c r="Q21" s="12">
        <v>2.44</v>
      </c>
    </row>
    <row r="22" spans="1:17" x14ac:dyDescent="0.35">
      <c r="A22" s="6">
        <v>21</v>
      </c>
      <c r="B22" s="7" t="s">
        <v>10</v>
      </c>
      <c r="C22" s="7" t="s">
        <v>19</v>
      </c>
      <c r="D22" s="8">
        <v>2.8</v>
      </c>
      <c r="E22" s="6" t="s">
        <v>3</v>
      </c>
      <c r="F22" s="6" t="s">
        <v>4</v>
      </c>
      <c r="G22" s="6" t="s">
        <v>8</v>
      </c>
      <c r="H22" s="6">
        <v>1134</v>
      </c>
      <c r="I22" s="11">
        <v>1.1339999999999999</v>
      </c>
      <c r="J22" s="9">
        <f t="shared" si="4"/>
        <v>1.1299999999999999</v>
      </c>
      <c r="K22" s="6">
        <v>7347</v>
      </c>
      <c r="L22" s="11">
        <f t="shared" si="0"/>
        <v>7.3470000000000004</v>
      </c>
      <c r="M22" s="9">
        <f t="shared" si="1"/>
        <v>7.35</v>
      </c>
      <c r="N22" s="6">
        <v>6348</v>
      </c>
      <c r="O22" s="10">
        <f t="shared" si="2"/>
        <v>6.3479999999999999</v>
      </c>
      <c r="P22" s="9">
        <f t="shared" si="3"/>
        <v>6.35</v>
      </c>
      <c r="Q22" s="12">
        <v>2.3809999999999998</v>
      </c>
    </row>
    <row r="23" spans="1:17" x14ac:dyDescent="0.35">
      <c r="A23" s="6">
        <v>22</v>
      </c>
      <c r="B23" s="7" t="s">
        <v>10</v>
      </c>
      <c r="C23" s="7" t="s">
        <v>19</v>
      </c>
      <c r="D23" s="8">
        <v>2.8</v>
      </c>
      <c r="E23" s="6" t="s">
        <v>3</v>
      </c>
      <c r="F23" s="6" t="s">
        <v>6</v>
      </c>
      <c r="G23" s="6" t="s">
        <v>5</v>
      </c>
      <c r="H23" s="6">
        <v>1074</v>
      </c>
      <c r="I23" s="11">
        <v>1.0740000000000001</v>
      </c>
      <c r="J23" s="9">
        <f t="shared" si="4"/>
        <v>1.07</v>
      </c>
      <c r="K23" s="6">
        <v>6970</v>
      </c>
      <c r="L23" s="11">
        <f t="shared" si="0"/>
        <v>6.97</v>
      </c>
      <c r="M23" s="9">
        <f t="shared" si="1"/>
        <v>6.97</v>
      </c>
      <c r="N23" s="6">
        <v>6015</v>
      </c>
      <c r="O23" s="10">
        <f t="shared" si="2"/>
        <v>6.0149999999999997</v>
      </c>
      <c r="P23" s="9">
        <f t="shared" si="3"/>
        <v>6.02</v>
      </c>
      <c r="Q23" s="12">
        <v>2.819</v>
      </c>
    </row>
    <row r="24" spans="1:17" x14ac:dyDescent="0.35">
      <c r="A24" s="6">
        <v>23</v>
      </c>
      <c r="B24" s="7" t="s">
        <v>10</v>
      </c>
      <c r="C24" s="7" t="s">
        <v>19</v>
      </c>
      <c r="D24" s="8">
        <v>2.8</v>
      </c>
      <c r="E24" s="6" t="s">
        <v>3</v>
      </c>
      <c r="F24" s="6" t="s">
        <v>6</v>
      </c>
      <c r="G24" s="6" t="s">
        <v>8</v>
      </c>
      <c r="H24" s="6">
        <v>949</v>
      </c>
      <c r="I24" s="11">
        <v>0.94899999999999995</v>
      </c>
      <c r="J24" s="9">
        <f t="shared" si="4"/>
        <v>0.95</v>
      </c>
      <c r="K24" s="6">
        <v>6198</v>
      </c>
      <c r="L24" s="11">
        <f t="shared" si="0"/>
        <v>6.1980000000000004</v>
      </c>
      <c r="M24" s="9">
        <f t="shared" si="1"/>
        <v>6.2</v>
      </c>
      <c r="N24" s="6">
        <v>5311</v>
      </c>
      <c r="O24" s="10">
        <f t="shared" si="2"/>
        <v>5.3109999999999999</v>
      </c>
      <c r="P24" s="9">
        <f t="shared" si="3"/>
        <v>5.31</v>
      </c>
      <c r="Q24" s="12">
        <v>2.7610000000000001</v>
      </c>
    </row>
    <row r="25" spans="1:17" x14ac:dyDescent="0.35">
      <c r="A25" s="6">
        <v>24</v>
      </c>
      <c r="B25" s="7" t="s">
        <v>10</v>
      </c>
      <c r="C25" s="7" t="s">
        <v>19</v>
      </c>
      <c r="D25" s="8">
        <v>2.8</v>
      </c>
      <c r="E25" s="6" t="s">
        <v>3</v>
      </c>
      <c r="F25" s="6" t="s">
        <v>9</v>
      </c>
      <c r="G25" s="6" t="s">
        <v>5</v>
      </c>
      <c r="H25" s="6">
        <v>1134</v>
      </c>
      <c r="I25" s="11">
        <v>1.1339999999999999</v>
      </c>
      <c r="J25" s="9">
        <f t="shared" si="4"/>
        <v>1.1299999999999999</v>
      </c>
      <c r="K25" s="6">
        <v>7323</v>
      </c>
      <c r="L25" s="11">
        <f t="shared" si="0"/>
        <v>7.3230000000000004</v>
      </c>
      <c r="M25" s="9">
        <f t="shared" si="1"/>
        <v>7.32</v>
      </c>
      <c r="N25" s="6">
        <v>6352</v>
      </c>
      <c r="O25" s="10">
        <f t="shared" si="2"/>
        <v>6.3520000000000003</v>
      </c>
      <c r="P25" s="9">
        <f t="shared" si="3"/>
        <v>6.35</v>
      </c>
      <c r="Q25" s="12">
        <v>2.5070000000000001</v>
      </c>
    </row>
    <row r="26" spans="1:17" x14ac:dyDescent="0.35">
      <c r="A26" s="6">
        <v>25</v>
      </c>
      <c r="B26" s="7" t="s">
        <v>10</v>
      </c>
      <c r="C26" s="7" t="s">
        <v>69</v>
      </c>
      <c r="D26" s="8">
        <v>3</v>
      </c>
      <c r="E26" s="6" t="s">
        <v>3</v>
      </c>
      <c r="F26" s="6" t="s">
        <v>4</v>
      </c>
      <c r="G26" s="6" t="s">
        <v>5</v>
      </c>
      <c r="H26" s="6">
        <v>1079</v>
      </c>
      <c r="I26" s="11">
        <v>1.079</v>
      </c>
      <c r="J26" s="9">
        <f t="shared" si="4"/>
        <v>1.08</v>
      </c>
      <c r="K26" s="6">
        <v>7482</v>
      </c>
      <c r="L26" s="11">
        <f t="shared" si="0"/>
        <v>7.4820000000000002</v>
      </c>
      <c r="M26" s="9">
        <f t="shared" si="1"/>
        <v>7.48</v>
      </c>
      <c r="N26" s="6">
        <v>6475</v>
      </c>
      <c r="O26" s="10">
        <f t="shared" si="2"/>
        <v>6.4749999999999996</v>
      </c>
      <c r="P26" s="9">
        <f t="shared" si="3"/>
        <v>6.48</v>
      </c>
      <c r="Q26" s="12">
        <v>4.0629999999999997</v>
      </c>
    </row>
    <row r="27" spans="1:17" x14ac:dyDescent="0.35">
      <c r="A27" s="6">
        <v>26</v>
      </c>
      <c r="B27" s="7" t="s">
        <v>10</v>
      </c>
      <c r="C27" s="7" t="s">
        <v>69</v>
      </c>
      <c r="D27" s="8">
        <v>3.5</v>
      </c>
      <c r="E27" s="6" t="s">
        <v>3</v>
      </c>
      <c r="F27" s="6" t="s">
        <v>4</v>
      </c>
      <c r="G27" s="6" t="s">
        <v>5</v>
      </c>
      <c r="H27" s="6">
        <v>898</v>
      </c>
      <c r="I27" s="11">
        <v>0.89800000000000002</v>
      </c>
      <c r="J27" s="9">
        <f t="shared" si="4"/>
        <v>0.9</v>
      </c>
      <c r="K27" s="6">
        <v>7228</v>
      </c>
      <c r="L27" s="11">
        <f t="shared" si="0"/>
        <v>7.2279999999999998</v>
      </c>
      <c r="M27" s="9">
        <f t="shared" si="1"/>
        <v>7.23</v>
      </c>
      <c r="N27" s="6">
        <v>6287</v>
      </c>
      <c r="O27" s="10">
        <f t="shared" si="2"/>
        <v>6.2869999999999999</v>
      </c>
      <c r="P27" s="9">
        <f t="shared" si="3"/>
        <v>6.29</v>
      </c>
      <c r="Q27" s="12">
        <v>4.048</v>
      </c>
    </row>
    <row r="28" spans="1:17" x14ac:dyDescent="0.35">
      <c r="A28" s="6">
        <v>27</v>
      </c>
      <c r="B28" s="7" t="s">
        <v>10</v>
      </c>
      <c r="C28" s="7" t="s">
        <v>69</v>
      </c>
      <c r="D28" s="8">
        <v>3</v>
      </c>
      <c r="E28" s="6" t="s">
        <v>3</v>
      </c>
      <c r="F28" s="6" t="s">
        <v>6</v>
      </c>
      <c r="G28" s="6" t="s">
        <v>5</v>
      </c>
      <c r="H28" s="6">
        <v>906</v>
      </c>
      <c r="I28" s="11">
        <v>0.90600000000000003</v>
      </c>
      <c r="J28" s="9">
        <f t="shared" si="4"/>
        <v>0.91</v>
      </c>
      <c r="K28" s="6">
        <v>6331</v>
      </c>
      <c r="L28" s="11">
        <f t="shared" si="0"/>
        <v>6.3310000000000004</v>
      </c>
      <c r="M28" s="9">
        <f t="shared" si="1"/>
        <v>6.33</v>
      </c>
      <c r="N28" s="6">
        <v>5438</v>
      </c>
      <c r="O28" s="10">
        <f t="shared" si="2"/>
        <v>5.4379999999999997</v>
      </c>
      <c r="P28" s="9">
        <f t="shared" si="3"/>
        <v>5.44</v>
      </c>
      <c r="Q28" s="12">
        <v>4.4630000000000001</v>
      </c>
    </row>
    <row r="29" spans="1:17" x14ac:dyDescent="0.35">
      <c r="A29" s="6">
        <v>28</v>
      </c>
      <c r="B29" s="7" t="s">
        <v>10</v>
      </c>
      <c r="C29" s="7" t="s">
        <v>69</v>
      </c>
      <c r="D29" s="8">
        <v>3.5</v>
      </c>
      <c r="E29" s="6" t="s">
        <v>3</v>
      </c>
      <c r="F29" s="6" t="s">
        <v>6</v>
      </c>
      <c r="G29" s="6" t="s">
        <v>5</v>
      </c>
      <c r="H29" s="6">
        <v>752</v>
      </c>
      <c r="I29" s="11">
        <v>0.752</v>
      </c>
      <c r="J29" s="9">
        <f t="shared" si="4"/>
        <v>0.75</v>
      </c>
      <c r="K29" s="6">
        <v>3152</v>
      </c>
      <c r="L29" s="11">
        <f t="shared" si="0"/>
        <v>3.1520000000000001</v>
      </c>
      <c r="M29" s="9">
        <f t="shared" si="1"/>
        <v>3.15</v>
      </c>
      <c r="N29" s="6">
        <v>5264</v>
      </c>
      <c r="O29" s="10">
        <f t="shared" si="2"/>
        <v>5.2640000000000002</v>
      </c>
      <c r="P29" s="9">
        <f t="shared" si="3"/>
        <v>5.26</v>
      </c>
      <c r="Q29" s="12">
        <v>4.4489999999999998</v>
      </c>
    </row>
    <row r="30" spans="1:17" x14ac:dyDescent="0.35">
      <c r="A30" s="6">
        <v>29</v>
      </c>
      <c r="B30" s="7" t="s">
        <v>10</v>
      </c>
      <c r="C30" s="7" t="s">
        <v>69</v>
      </c>
      <c r="D30" s="8">
        <v>3</v>
      </c>
      <c r="E30" s="6" t="s">
        <v>3</v>
      </c>
      <c r="F30" s="6" t="s">
        <v>9</v>
      </c>
      <c r="G30" s="6" t="s">
        <v>5</v>
      </c>
      <c r="H30" s="6">
        <v>936</v>
      </c>
      <c r="I30" s="11">
        <v>0.93600000000000005</v>
      </c>
      <c r="J30" s="9">
        <f t="shared" si="4"/>
        <v>0.94</v>
      </c>
      <c r="K30" s="6">
        <v>6504</v>
      </c>
      <c r="L30" s="11">
        <f t="shared" si="0"/>
        <v>6.5039999999999996</v>
      </c>
      <c r="M30" s="9">
        <f t="shared" si="1"/>
        <v>6.5</v>
      </c>
      <c r="N30" s="6">
        <v>5614</v>
      </c>
      <c r="O30" s="10">
        <f t="shared" si="2"/>
        <v>5.6139999999999999</v>
      </c>
      <c r="P30" s="9">
        <f t="shared" si="3"/>
        <v>5.61</v>
      </c>
      <c r="Q30" s="12">
        <v>3.9769999999999999</v>
      </c>
    </row>
    <row r="31" spans="1:17" x14ac:dyDescent="0.35">
      <c r="A31" s="6">
        <v>30</v>
      </c>
      <c r="B31" s="7" t="s">
        <v>10</v>
      </c>
      <c r="C31" s="7" t="s">
        <v>69</v>
      </c>
      <c r="D31" s="8">
        <v>3.5</v>
      </c>
      <c r="E31" s="6" t="s">
        <v>3</v>
      </c>
      <c r="F31" s="6" t="s">
        <v>9</v>
      </c>
      <c r="G31" s="6" t="s">
        <v>5</v>
      </c>
      <c r="H31" s="6">
        <v>826</v>
      </c>
      <c r="I31" s="11">
        <v>0.82599999999999996</v>
      </c>
      <c r="J31" s="9">
        <f t="shared" si="4"/>
        <v>0.83</v>
      </c>
      <c r="K31" s="6">
        <v>6706</v>
      </c>
      <c r="L31" s="11">
        <f t="shared" si="0"/>
        <v>6.7060000000000004</v>
      </c>
      <c r="M31" s="9">
        <f t="shared" si="1"/>
        <v>6.71</v>
      </c>
      <c r="N31" s="6">
        <v>5781</v>
      </c>
      <c r="O31" s="10">
        <f t="shared" si="2"/>
        <v>5.7809999999999997</v>
      </c>
      <c r="P31" s="9">
        <f t="shared" si="3"/>
        <v>5.78</v>
      </c>
      <c r="Q31" s="12">
        <v>4.2709999999999999</v>
      </c>
    </row>
  </sheetData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38E6-A616-4FE9-97E9-C905F31E5BCA}">
  <dimension ref="B4:G33"/>
  <sheetViews>
    <sheetView workbookViewId="0">
      <selection activeCell="B30" sqref="B30:G33"/>
    </sheetView>
  </sheetViews>
  <sheetFormatPr defaultRowHeight="14.5" x14ac:dyDescent="0.35"/>
  <cols>
    <col min="2" max="2" width="65.81640625" bestFit="1" customWidth="1"/>
    <col min="3" max="3" width="74.453125" bestFit="1" customWidth="1"/>
  </cols>
  <sheetData>
    <row r="4" spans="2:7" x14ac:dyDescent="0.35"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2:7" x14ac:dyDescent="0.35">
      <c r="B5" s="3" t="s">
        <v>26</v>
      </c>
      <c r="C5" s="4" t="s">
        <v>27</v>
      </c>
      <c r="D5" t="s">
        <v>28</v>
      </c>
      <c r="E5" s="4" t="s">
        <v>29</v>
      </c>
      <c r="F5" t="s">
        <v>30</v>
      </c>
      <c r="G5" t="s">
        <v>31</v>
      </c>
    </row>
    <row r="6" spans="2:7" x14ac:dyDescent="0.35">
      <c r="B6" s="3" t="s">
        <v>32</v>
      </c>
      <c r="C6" s="4" t="s">
        <v>33</v>
      </c>
      <c r="D6" t="s">
        <v>28</v>
      </c>
      <c r="E6" s="4" t="s">
        <v>34</v>
      </c>
      <c r="F6" t="s">
        <v>35</v>
      </c>
      <c r="G6" t="s">
        <v>36</v>
      </c>
    </row>
    <row r="9" spans="2:7" x14ac:dyDescent="0.35"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</row>
    <row r="10" spans="2:7" x14ac:dyDescent="0.35">
      <c r="B10" s="3" t="s">
        <v>26</v>
      </c>
      <c r="C10" s="4" t="s">
        <v>27</v>
      </c>
      <c r="D10" t="s">
        <v>37</v>
      </c>
      <c r="E10" s="4" t="s">
        <v>38</v>
      </c>
      <c r="F10" t="s">
        <v>39</v>
      </c>
      <c r="G10" t="s">
        <v>40</v>
      </c>
    </row>
    <row r="11" spans="2:7" x14ac:dyDescent="0.35">
      <c r="B11" s="3" t="s">
        <v>32</v>
      </c>
      <c r="C11" s="4" t="s">
        <v>33</v>
      </c>
      <c r="D11" t="s">
        <v>37</v>
      </c>
      <c r="E11" s="4" t="s">
        <v>41</v>
      </c>
      <c r="F11" t="s">
        <v>42</v>
      </c>
      <c r="G11" t="s">
        <v>43</v>
      </c>
    </row>
    <row r="14" spans="2:7" x14ac:dyDescent="0.35"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</row>
    <row r="15" spans="2:7" x14ac:dyDescent="0.35">
      <c r="B15" s="3" t="s">
        <v>26</v>
      </c>
      <c r="C15" s="4" t="s">
        <v>27</v>
      </c>
      <c r="D15" t="s">
        <v>44</v>
      </c>
      <c r="E15" s="4" t="s">
        <v>45</v>
      </c>
      <c r="F15" t="s">
        <v>46</v>
      </c>
      <c r="G15" t="s">
        <v>47</v>
      </c>
    </row>
    <row r="16" spans="2:7" x14ac:dyDescent="0.35">
      <c r="B16" s="3" t="s">
        <v>32</v>
      </c>
      <c r="C16" s="4" t="s">
        <v>33</v>
      </c>
      <c r="D16" t="s">
        <v>44</v>
      </c>
      <c r="E16" s="4" t="s">
        <v>48</v>
      </c>
      <c r="F16" t="s">
        <v>49</v>
      </c>
      <c r="G16" t="s">
        <v>50</v>
      </c>
    </row>
    <row r="20" spans="2:7" x14ac:dyDescent="0.35">
      <c r="B20" s="2" t="s">
        <v>21</v>
      </c>
      <c r="C20" s="2" t="s">
        <v>51</v>
      </c>
      <c r="D20" s="2" t="s">
        <v>22</v>
      </c>
      <c r="E20" s="2" t="s">
        <v>23</v>
      </c>
      <c r="F20" s="2" t="s">
        <v>24</v>
      </c>
      <c r="G20" s="2" t="s">
        <v>25</v>
      </c>
    </row>
    <row r="21" spans="2:7" x14ac:dyDescent="0.35">
      <c r="B21" s="3" t="s">
        <v>52</v>
      </c>
      <c r="C21" s="4" t="s">
        <v>53</v>
      </c>
      <c r="D21" t="s">
        <v>54</v>
      </c>
      <c r="E21" s="4" t="s">
        <v>55</v>
      </c>
      <c r="F21" t="s">
        <v>56</v>
      </c>
      <c r="G21" t="s">
        <v>57</v>
      </c>
    </row>
    <row r="22" spans="2:7" x14ac:dyDescent="0.35">
      <c r="B22" s="3"/>
      <c r="C22" s="4" t="s">
        <v>58</v>
      </c>
      <c r="D22" t="s">
        <v>59</v>
      </c>
      <c r="E22" s="4" t="s">
        <v>60</v>
      </c>
      <c r="F22" t="s">
        <v>61</v>
      </c>
      <c r="G22" t="s">
        <v>62</v>
      </c>
    </row>
    <row r="23" spans="2:7" x14ac:dyDescent="0.35">
      <c r="B23" s="3" t="s">
        <v>63</v>
      </c>
      <c r="C23" s="4" t="s">
        <v>64</v>
      </c>
      <c r="D23" t="s">
        <v>65</v>
      </c>
      <c r="E23" s="4" t="s">
        <v>66</v>
      </c>
      <c r="F23" t="s">
        <v>67</v>
      </c>
      <c r="G23" t="s">
        <v>68</v>
      </c>
    </row>
    <row r="25" spans="2:7" x14ac:dyDescent="0.35">
      <c r="B25" s="2" t="s">
        <v>21</v>
      </c>
      <c r="C25" s="2" t="s">
        <v>51</v>
      </c>
      <c r="D25" s="2" t="s">
        <v>22</v>
      </c>
      <c r="E25" s="2" t="s">
        <v>23</v>
      </c>
      <c r="F25" s="2" t="s">
        <v>24</v>
      </c>
      <c r="G25" s="2" t="s">
        <v>25</v>
      </c>
    </row>
    <row r="26" spans="2:7" x14ac:dyDescent="0.35">
      <c r="B26" s="3" t="s">
        <v>52</v>
      </c>
      <c r="C26" s="4" t="s">
        <v>53</v>
      </c>
      <c r="D26" t="s">
        <v>70</v>
      </c>
      <c r="E26" s="4" t="s">
        <v>71</v>
      </c>
      <c r="F26" t="s">
        <v>72</v>
      </c>
      <c r="G26" t="s">
        <v>73</v>
      </c>
    </row>
    <row r="27" spans="2:7" x14ac:dyDescent="0.35">
      <c r="B27" s="3"/>
      <c r="C27" s="4" t="s">
        <v>58</v>
      </c>
      <c r="D27" t="s">
        <v>74</v>
      </c>
      <c r="E27" s="4" t="s">
        <v>75</v>
      </c>
      <c r="F27" t="s">
        <v>76</v>
      </c>
      <c r="G27" t="s">
        <v>77</v>
      </c>
    </row>
    <row r="28" spans="2:7" x14ac:dyDescent="0.35">
      <c r="B28" s="3" t="s">
        <v>63</v>
      </c>
      <c r="C28" s="4" t="s">
        <v>64</v>
      </c>
      <c r="D28" t="s">
        <v>78</v>
      </c>
      <c r="E28" s="4" t="s">
        <v>79</v>
      </c>
      <c r="F28" t="s">
        <v>80</v>
      </c>
      <c r="G28" t="s">
        <v>81</v>
      </c>
    </row>
    <row r="30" spans="2:7" x14ac:dyDescent="0.35">
      <c r="B30" s="2" t="s">
        <v>21</v>
      </c>
      <c r="C30" s="2" t="s">
        <v>51</v>
      </c>
      <c r="D30" s="2" t="s">
        <v>22</v>
      </c>
      <c r="E30" s="2" t="s">
        <v>23</v>
      </c>
      <c r="F30" s="2" t="s">
        <v>24</v>
      </c>
      <c r="G30" s="2" t="s">
        <v>25</v>
      </c>
    </row>
    <row r="31" spans="2:7" x14ac:dyDescent="0.35">
      <c r="B31" s="3" t="s">
        <v>52</v>
      </c>
      <c r="C31" s="4" t="s">
        <v>53</v>
      </c>
      <c r="D31" t="s">
        <v>82</v>
      </c>
      <c r="E31" s="4" t="s">
        <v>83</v>
      </c>
      <c r="F31" t="s">
        <v>84</v>
      </c>
      <c r="G31" t="s">
        <v>85</v>
      </c>
    </row>
    <row r="32" spans="2:7" x14ac:dyDescent="0.35">
      <c r="B32" s="3"/>
      <c r="C32" s="4" t="s">
        <v>58</v>
      </c>
      <c r="D32" t="s">
        <v>86</v>
      </c>
      <c r="E32" s="4" t="s">
        <v>87</v>
      </c>
      <c r="F32" t="s">
        <v>88</v>
      </c>
      <c r="G32" t="s">
        <v>89</v>
      </c>
    </row>
    <row r="33" spans="2:7" x14ac:dyDescent="0.35">
      <c r="B33" s="3" t="s">
        <v>63</v>
      </c>
      <c r="C33" s="4" t="s">
        <v>64</v>
      </c>
      <c r="D33" t="s">
        <v>90</v>
      </c>
      <c r="E33" s="4" t="s">
        <v>91</v>
      </c>
      <c r="F33" t="s">
        <v>92</v>
      </c>
      <c r="G3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B323-00BD-4FE6-B73A-77DBD4A2633E}">
  <dimension ref="B4:C4"/>
  <sheetViews>
    <sheetView workbookViewId="0">
      <selection activeCell="C5" sqref="C5"/>
    </sheetView>
  </sheetViews>
  <sheetFormatPr defaultRowHeight="14.5" x14ac:dyDescent="0.35"/>
  <sheetData>
    <row r="4" spans="2:3" x14ac:dyDescent="0.35">
      <c r="B4">
        <v>1.5840000000000001</v>
      </c>
      <c r="C4">
        <f>+ROUND(B4,1)</f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521G 521G+ data 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2026-04-02T08:04:53Z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